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didor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<sst xmlns="http://schemas.openxmlformats.org/spreadsheetml/2006/main" count="169" uniqueCount="37">
  <si>
    <t xml:space="preserve">medidor </t>
  </si>
  <si>
    <t xml:space="preserve">( conectado sector sopladoras )</t>
  </si>
  <si>
    <t xml:space="preserve">Kw-h</t>
  </si>
  <si>
    <t xml:space="preserve">$</t>
  </si>
  <si>
    <t xml:space="preserve">$ x U$S</t>
  </si>
  <si>
    <t xml:space="preserve">U$S</t>
  </si>
  <si>
    <t xml:space="preserve">U$S / Kw-h</t>
  </si>
  <si>
    <t xml:space="preserve">lts- kg</t>
  </si>
  <si>
    <t xml:space="preserve">U$S / lt-kg</t>
  </si>
  <si>
    <t xml:space="preserve">Kw-h / lt-kg</t>
  </si>
  <si>
    <t xml:space="preserve">unidades</t>
  </si>
  <si>
    <t xml:space="preserve">U$S / unidad</t>
  </si>
  <si>
    <t xml:space="preserve">Kw-h / udades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</si>
  <si>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</si>
  <si>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</si>
  <si>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</si>
  <si>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</si>
  <si>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</si>
  <si>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</si>
  <si>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</si>
  <si>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</si>
  <si>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</si>
  <si>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</si>
  <si>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</si>
  <si>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</si>
  <si>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A300-400-500-600-700-1000-1100</t>
  </si>
  <si>
    <t xml:space="preserve">incluye líquidos evaporados y fardos </t>
  </si>
  <si>
    <t xml:space="preserve">A800, A900, Sopladoras y picado bidones</t>
  </si>
  <si>
    <t xml:space="preserve">Pot contrat 1100</t>
  </si>
  <si>
    <t xml:space="preserve">Pot contrat 1000</t>
  </si>
  <si>
    <t xml:space="preserve">288-302</t>
  </si>
  <si>
    <t xml:space="preserve">582-570</t>
  </si>
  <si>
    <t xml:space="preserve">302-317</t>
  </si>
  <si>
    <t xml:space="preserve">655-722</t>
  </si>
  <si>
    <t xml:space="preserve">609-685</t>
  </si>
  <si>
    <t xml:space="preserve">A300-400-500-600-700</t>
  </si>
  <si>
    <t xml:space="preserve">A800, A900, 1000 ,1100 Sopladoras y picado bidones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</si>
</sst>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#,##0.0000"/>
    <numFmt numFmtId="167" formatCode="0.0000"/>
    <numFmt numFmtId="168" formatCode="0.000"/>
    <numFmt numFmtId="169" formatCode="0"/>
    <numFmt numFmtId="170" formatCode="#,##0.0"/>
    <numFmt numFmtId="171" formatCode="#,##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theme="9" tint="-0.5"/>
      <name val="Calibri"/>
      <family val="2"/>
      <charset val="1"/>
    </font>
    <font>
      <sz val="11"/>
      <color theme="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theme="0" tint="-0.05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9" tint="-0.25"/>
        <bgColor rgb="FF339966"/>
      </patternFill>
    </fill>
    <fill>
      <patternFill patternType="solid">
        <fgColor theme="9" tint="0.7999"/>
        <bgColor rgb="FFF2F2F2"/>
      </patternFill>
    </fill>
    <fill>
      <patternFill patternType="solid">
        <fgColor theme="0" tint="-0.5"/>
        <bgColor rgb="FF7F7F7F"/>
      </patternFill>
    </fill>
    <fill>
      <patternFill patternType="solid">
        <fgColor theme="1" tint="0.4999"/>
        <bgColor rgb="FF808080"/>
      </patternFill>
    </fill>
    <fill>
      <patternFill patternType="solid">
        <fgColor theme="0" tint="-0.15"/>
        <bgColor rgb="FFE2F0D9"/>
      </patternFill>
    </fill>
    <fill>
      <patternFill patternType="solid">
        <fgColor theme="9" tint="0.3999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A9D18E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857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64" activeCellId="0" sqref="K64"/>
    </sheetView>
  </sheetViews>
  <sheetFormatPr defaultColWidth="10.5976562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1" t="n">
        <v>4156946</v>
      </c>
      <c r="J1" s="2" t="s">
        <v>0</v>
      </c>
      <c r="K1" s="1" t="n">
        <v>107552</v>
      </c>
      <c r="L1" s="2" t="s">
        <v>1</v>
      </c>
    </row>
    <row r="2" customFormat="false" ht="14.25" hidden="false" customHeight="false" outlineLevel="0" collapsed="false">
      <c r="A2" s="3"/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3"/>
      <c r="K2" s="4" t="s">
        <v>2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10</v>
      </c>
      <c r="Q2" s="4" t="s">
        <v>11</v>
      </c>
      <c r="R2" s="5" t="s">
        <v>12</v>
      </c>
    </row>
    <row r="3" customFormat="false" ht="14.25" hidden="false" customHeight="false" outlineLevel="0" collapsed="false">
      <c r="A3" s="4" t="s">
        <v>13</v>
      </c>
      <c r="B3" s="6" t="n">
        <v>264947</v>
      </c>
      <c r="C3" s="6" t="n">
        <v>3594025</v>
      </c>
      <c r="D3" s="7" t="n">
        <v>184</v>
      </c>
      <c r="E3" s="6" t="n">
        <f aca="false">C3/D3</f>
        <v>19532.7445652174</v>
      </c>
      <c r="F3" s="8" t="n">
        <f aca="false">E3/B3</f>
        <v>0.0737232147003642</v>
      </c>
      <c r="G3" s="6" t="n">
        <v>1114850</v>
      </c>
      <c r="H3" s="9" t="n">
        <f aca="false">E3/G3</f>
        <v>0.0175205135804973</v>
      </c>
      <c r="I3" s="10" t="n">
        <f aca="false">B3/G3</f>
        <v>0.23765259900435</v>
      </c>
      <c r="J3" s="4" t="s">
        <v>13</v>
      </c>
      <c r="K3" s="6"/>
      <c r="L3" s="6"/>
      <c r="M3" s="7"/>
      <c r="N3" s="11"/>
      <c r="O3" s="8"/>
      <c r="P3" s="6"/>
      <c r="Q3" s="9"/>
      <c r="R3" s="10"/>
    </row>
    <row r="4" customFormat="false" ht="14.25" hidden="false" customHeight="false" outlineLevel="0" collapsed="false">
      <c r="A4" s="4" t="s">
        <v>14</v>
      </c>
      <c r="B4" s="6" t="n">
        <v>517814</v>
      </c>
      <c r="C4" s="6" t="n">
        <v>7090953</v>
      </c>
      <c r="D4" s="7" t="n">
        <v>204</v>
      </c>
      <c r="E4" s="6" t="n">
        <f aca="false">C4/D4</f>
        <v>34759.5735294118</v>
      </c>
      <c r="F4" s="8" t="n">
        <f aca="false">E4/B4</f>
        <v>0.0671275275087421</v>
      </c>
      <c r="G4" s="6" t="n">
        <v>2329571</v>
      </c>
      <c r="H4" s="9" t="n">
        <f aca="false">E4/G4</f>
        <v>0.0149210191616447</v>
      </c>
      <c r="I4" s="10" t="n">
        <f aca="false">B4/G4</f>
        <v>0.222278694231685</v>
      </c>
      <c r="J4" s="4" t="s">
        <v>14</v>
      </c>
      <c r="K4" s="6"/>
      <c r="L4" s="6"/>
      <c r="M4" s="7"/>
      <c r="N4" s="11"/>
      <c r="O4" s="8"/>
      <c r="P4" s="6"/>
      <c r="Q4" s="9"/>
      <c r="R4" s="10"/>
    </row>
    <row r="5" customFormat="false" ht="14.25" hidden="false" customHeight="false" outlineLevel="0" collapsed="false">
      <c r="A5" s="4" t="s">
        <v>15</v>
      </c>
      <c r="B5" s="6" t="n">
        <v>428057</v>
      </c>
      <c r="C5" s="6" t="n">
        <v>6373151</v>
      </c>
      <c r="D5" s="7" t="n">
        <v>215</v>
      </c>
      <c r="E5" s="6" t="n">
        <f aca="false">C5/D5</f>
        <v>29642.5627906977</v>
      </c>
      <c r="F5" s="8" t="n">
        <f aca="false">E5/B5</f>
        <v>0.0692491018502155</v>
      </c>
      <c r="G5" s="6" t="n">
        <v>1751127</v>
      </c>
      <c r="H5" s="9" t="n">
        <f aca="false">E5/G5</f>
        <v>0.0169277058663921</v>
      </c>
      <c r="I5" s="10" t="n">
        <f aca="false">B5/G5</f>
        <v>0.244446576404795</v>
      </c>
      <c r="J5" s="4" t="s">
        <v>15</v>
      </c>
      <c r="K5" s="6"/>
      <c r="L5" s="6"/>
      <c r="M5" s="7"/>
      <c r="N5" s="11"/>
      <c r="O5" s="8"/>
      <c r="P5" s="6"/>
      <c r="Q5" s="9"/>
      <c r="R5" s="10"/>
    </row>
    <row r="6" customFormat="false" ht="14.25" hidden="false" customHeight="false" outlineLevel="0" collapsed="false">
      <c r="A6" s="4" t="s">
        <v>16</v>
      </c>
      <c r="B6" s="6" t="n">
        <v>420763</v>
      </c>
      <c r="C6" s="6" t="n">
        <v>6573606</v>
      </c>
      <c r="D6" s="7" t="n">
        <v>230</v>
      </c>
      <c r="E6" s="6" t="n">
        <f aca="false">C6/D6</f>
        <v>28580.8956521739</v>
      </c>
      <c r="F6" s="8" t="n">
        <f aca="false">E6/B6</f>
        <v>0.0679263520133042</v>
      </c>
      <c r="G6" s="6" t="n">
        <v>2720075</v>
      </c>
      <c r="H6" s="9" t="n">
        <f aca="false">E6/G6</f>
        <v>0.0105073924991678</v>
      </c>
      <c r="I6" s="10" t="n">
        <f aca="false">B6/G6</f>
        <v>0.154688014117258</v>
      </c>
      <c r="J6" s="4" t="s">
        <v>16</v>
      </c>
      <c r="K6" s="6"/>
      <c r="L6" s="6"/>
      <c r="M6" s="7"/>
      <c r="N6" s="11"/>
      <c r="O6" s="8"/>
      <c r="P6" s="6"/>
      <c r="Q6" s="9"/>
      <c r="R6" s="10"/>
    </row>
    <row r="7" customFormat="false" ht="14.25" hidden="false" customHeight="false" outlineLevel="0" collapsed="false">
      <c r="A7" s="4" t="s">
        <v>17</v>
      </c>
      <c r="B7" s="6" t="n">
        <v>406760</v>
      </c>
      <c r="C7" s="6" t="n">
        <v>9315709</v>
      </c>
      <c r="D7" s="7" t="n">
        <v>244</v>
      </c>
      <c r="E7" s="6" t="n">
        <f aca="false">C7/D7</f>
        <v>38179.1352459016</v>
      </c>
      <c r="F7" s="8" t="n">
        <f aca="false">E7/B7</f>
        <v>0.0938615774557519</v>
      </c>
      <c r="G7" s="6" t="n">
        <v>1147140</v>
      </c>
      <c r="H7" s="9" t="n">
        <f aca="false">E7/G7</f>
        <v>0.0332820189740587</v>
      </c>
      <c r="I7" s="10" t="n">
        <f aca="false">B7/G7</f>
        <v>0.354586188259498</v>
      </c>
      <c r="J7" s="4" t="s">
        <v>17</v>
      </c>
      <c r="K7" s="6"/>
      <c r="L7" s="6"/>
      <c r="M7" s="7"/>
      <c r="N7" s="11"/>
      <c r="O7" s="8"/>
      <c r="P7" s="6"/>
      <c r="Q7" s="9"/>
      <c r="R7" s="10"/>
    </row>
    <row r="8" customFormat="false" ht="14.25" hidden="false" customHeight="false" outlineLevel="0" collapsed="false">
      <c r="A8" s="4" t="s">
        <v>18</v>
      </c>
      <c r="B8" s="6" t="n">
        <v>396362</v>
      </c>
      <c r="C8" s="6" t="n">
        <v>9353226</v>
      </c>
      <c r="D8" s="7" t="n">
        <v>257</v>
      </c>
      <c r="E8" s="6" t="n">
        <f aca="false">C8/D8</f>
        <v>36393.8754863813</v>
      </c>
      <c r="F8" s="8" t="n">
        <f aca="false">E8/B8</f>
        <v>0.0918197897033049</v>
      </c>
      <c r="G8" s="6" t="n">
        <v>2441754</v>
      </c>
      <c r="H8" s="9" t="n">
        <f aca="false">E8/G8</f>
        <v>0.0149048083821635</v>
      </c>
      <c r="I8" s="10" t="n">
        <f aca="false">B8/G8</f>
        <v>0.162326753636935</v>
      </c>
      <c r="J8" s="4" t="s">
        <v>18</v>
      </c>
      <c r="K8" s="6"/>
      <c r="L8" s="6"/>
      <c r="M8" s="7"/>
      <c r="N8" s="11"/>
      <c r="O8" s="8"/>
      <c r="P8" s="6"/>
      <c r="Q8" s="9"/>
      <c r="R8" s="10"/>
    </row>
    <row r="9" customFormat="false" ht="14.25" hidden="false" customHeight="false" outlineLevel="0" collapsed="false">
      <c r="A9" s="4" t="s">
        <v>19</v>
      </c>
      <c r="B9" s="6" t="n">
        <v>500485</v>
      </c>
      <c r="C9" s="6" t="n">
        <v>12304968</v>
      </c>
      <c r="D9" s="7" t="n">
        <v>286</v>
      </c>
      <c r="E9" s="6" t="n">
        <f aca="false">C9/D9</f>
        <v>43024.3636363636</v>
      </c>
      <c r="F9" s="8" t="n">
        <f aca="false">E9/B9</f>
        <v>0.085965340892062</v>
      </c>
      <c r="G9" s="6" t="n">
        <v>2751160</v>
      </c>
      <c r="H9" s="9" t="n">
        <f aca="false">E9/G9</f>
        <v>0.0156386264835065</v>
      </c>
      <c r="I9" s="10" t="n">
        <f aca="false">B9/G9</f>
        <v>0.181917809215022</v>
      </c>
      <c r="J9" s="4" t="s">
        <v>19</v>
      </c>
      <c r="K9" s="6"/>
      <c r="L9" s="6"/>
      <c r="M9" s="7"/>
      <c r="N9" s="11"/>
      <c r="O9" s="8"/>
      <c r="P9" s="6"/>
      <c r="Q9" s="9"/>
      <c r="R9" s="10"/>
    </row>
    <row r="10" customFormat="false" ht="14.25" hidden="false" customHeight="false" outlineLevel="0" collapsed="false">
      <c r="A10" s="4" t="s">
        <v>20</v>
      </c>
      <c r="B10" s="6" t="n">
        <v>479515</v>
      </c>
      <c r="C10" s="6" t="n">
        <v>14203388</v>
      </c>
      <c r="D10" s="7" t="n">
        <v>365</v>
      </c>
      <c r="E10" s="6" t="n">
        <f aca="false">C10/D10</f>
        <v>38913.3917808219</v>
      </c>
      <c r="F10" s="8" t="n">
        <f aca="false">E10/B10</f>
        <v>0.0811515631019299</v>
      </c>
      <c r="G10" s="6" t="n">
        <v>3263219</v>
      </c>
      <c r="H10" s="9" t="n">
        <f aca="false">E10/G10</f>
        <v>0.0119248483723654</v>
      </c>
      <c r="I10" s="10" t="n">
        <f aca="false">B10/G10</f>
        <v>0.146945393490293</v>
      </c>
      <c r="J10" s="4" t="s">
        <v>20</v>
      </c>
      <c r="K10" s="6" t="n">
        <v>31200</v>
      </c>
      <c r="L10" s="6" t="n">
        <v>3617865</v>
      </c>
      <c r="M10" s="7" t="n">
        <v>365</v>
      </c>
      <c r="N10" s="6" t="n">
        <f aca="false">L10/M10</f>
        <v>9911.95890410959</v>
      </c>
      <c r="O10" s="8" t="n">
        <f aca="false">(N10+N11)/K10/2</f>
        <v>0.288092180993207</v>
      </c>
      <c r="P10" s="6" t="n">
        <v>0</v>
      </c>
      <c r="Q10" s="9"/>
      <c r="R10" s="10"/>
    </row>
    <row r="11" customFormat="false" ht="14.25" hidden="false" customHeight="false" outlineLevel="0" collapsed="false">
      <c r="A11" s="4" t="s">
        <v>21</v>
      </c>
      <c r="B11" s="6" t="n">
        <v>430806</v>
      </c>
      <c r="C11" s="6" t="n">
        <v>14440337</v>
      </c>
      <c r="D11" s="7" t="n">
        <v>367.1</v>
      </c>
      <c r="E11" s="6" t="n">
        <f aca="false">C11/D11</f>
        <v>39336.24897848</v>
      </c>
      <c r="F11" s="8" t="n">
        <f aca="false">E11/B11</f>
        <v>0.0913084984389261</v>
      </c>
      <c r="G11" s="6" t="n">
        <v>2874751</v>
      </c>
      <c r="H11" s="9" t="n">
        <f aca="false">E11/G11</f>
        <v>0.0136833586555775</v>
      </c>
      <c r="I11" s="10" t="n">
        <f aca="false">B11/G11</f>
        <v>0.149858544270443</v>
      </c>
      <c r="J11" s="4" t="s">
        <v>21</v>
      </c>
      <c r="K11" s="6"/>
      <c r="L11" s="6" t="n">
        <v>2960659</v>
      </c>
      <c r="M11" s="7" t="n">
        <v>367.1</v>
      </c>
      <c r="N11" s="6" t="n">
        <f aca="false">L11/M11</f>
        <v>8064.99318986652</v>
      </c>
      <c r="O11" s="8" t="n">
        <f aca="false">O10</f>
        <v>0.288092180993207</v>
      </c>
      <c r="P11" s="6" t="n">
        <v>937</v>
      </c>
      <c r="Q11" s="9" t="n">
        <f aca="false">N11/P11</f>
        <v>8.6072499358234</v>
      </c>
      <c r="R11" s="10" t="n">
        <f aca="false">K10/P11</f>
        <v>33.2977588046958</v>
      </c>
    </row>
    <row r="12" customFormat="false" ht="14.25" hidden="false" customHeight="false" outlineLevel="0" collapsed="false">
      <c r="A12" s="4" t="s">
        <v>22</v>
      </c>
      <c r="B12" s="6" t="n">
        <f aca="false">127055+162760+60770</f>
        <v>350585</v>
      </c>
      <c r="C12" s="6" t="n">
        <v>14101011</v>
      </c>
      <c r="D12" s="7" t="n">
        <v>365.5</v>
      </c>
      <c r="E12" s="6" t="n">
        <f aca="false">C12/D12</f>
        <v>38580.0574555404</v>
      </c>
      <c r="F12" s="8" t="n">
        <f aca="false">E12/B12</f>
        <v>0.110044803558453</v>
      </c>
      <c r="G12" s="6" t="n">
        <v>2692960</v>
      </c>
      <c r="H12" s="9" t="n">
        <f aca="false">E12/G12</f>
        <v>0.0143262645770975</v>
      </c>
      <c r="I12" s="10" t="n">
        <f aca="false">B12/G12</f>
        <v>0.130185743568415</v>
      </c>
      <c r="J12" s="4" t="s">
        <v>22</v>
      </c>
      <c r="K12" s="6" t="n">
        <v>3600</v>
      </c>
      <c r="L12" s="6" t="n">
        <v>3254758</v>
      </c>
      <c r="M12" s="7" t="n">
        <v>365.5</v>
      </c>
      <c r="N12" s="11" t="n">
        <f aca="false">L12/M12</f>
        <v>8904.94664842681</v>
      </c>
      <c r="O12" s="8" t="n">
        <f aca="false">N12/K12</f>
        <v>2.47359629122967</v>
      </c>
      <c r="P12" s="6" t="n">
        <v>1233</v>
      </c>
      <c r="Q12" s="9" t="n">
        <f aca="false">N12/P12</f>
        <v>7.22217895249539</v>
      </c>
      <c r="R12" s="10" t="n">
        <f aca="false">K12/P12</f>
        <v>2.91970802919708</v>
      </c>
    </row>
    <row r="13" customFormat="false" ht="14.25" hidden="false" customHeight="false" outlineLevel="0" collapsed="false">
      <c r="A13" s="4" t="s">
        <v>23</v>
      </c>
      <c r="B13" s="6" t="n">
        <f aca="false">103295+152185+54495</f>
        <v>309975</v>
      </c>
      <c r="C13" s="6" t="n">
        <v>13909727</v>
      </c>
      <c r="D13" s="7" t="n">
        <v>378.5</v>
      </c>
      <c r="E13" s="6" t="n">
        <f aca="false">C13/D13</f>
        <v>36749.608982827</v>
      </c>
      <c r="F13" s="8" t="n">
        <f aca="false">E13/B13</f>
        <v>0.118556686774182</v>
      </c>
      <c r="G13" s="6" t="n">
        <v>1379860</v>
      </c>
      <c r="H13" s="9" t="n">
        <f aca="false">E13/G13</f>
        <v>0.0266328533205013</v>
      </c>
      <c r="I13" s="10" t="n">
        <f aca="false">B13/G13</f>
        <v>0.224642355021524</v>
      </c>
      <c r="J13" s="4" t="s">
        <v>23</v>
      </c>
      <c r="K13" s="6" t="n">
        <v>3600</v>
      </c>
      <c r="L13" s="6" t="n">
        <v>2960659</v>
      </c>
      <c r="M13" s="7" t="n">
        <v>365.5</v>
      </c>
      <c r="N13" s="11" t="n">
        <f aca="false">L13/M13</f>
        <v>8100.29822161423</v>
      </c>
      <c r="O13" s="8" t="n">
        <f aca="false">N13/K13</f>
        <v>2.25008283933729</v>
      </c>
      <c r="P13" s="6" t="n">
        <v>26717</v>
      </c>
      <c r="Q13" s="9" t="n">
        <f aca="false">N13/P13</f>
        <v>0.303188914234915</v>
      </c>
      <c r="R13" s="3"/>
    </row>
    <row r="14" customFormat="false" ht="14.25" hidden="false" customHeight="false" outlineLevel="0" collapsed="false">
      <c r="A14" s="4" t="s">
        <v>24</v>
      </c>
      <c r="B14" s="6" t="n">
        <v>109030</v>
      </c>
      <c r="C14" s="6" t="n">
        <v>10164235</v>
      </c>
      <c r="D14" s="7" t="n">
        <v>790</v>
      </c>
      <c r="E14" s="6" t="n">
        <f aca="false">C14/D14</f>
        <v>12866.1202531646</v>
      </c>
      <c r="F14" s="8" t="n">
        <f aca="false">E14/B14</f>
        <v>0.118005321958769</v>
      </c>
      <c r="G14" s="6" t="n">
        <v>1156484</v>
      </c>
      <c r="H14" s="9" t="n">
        <f aca="false">E14/G14</f>
        <v>0.0111252038533733</v>
      </c>
      <c r="I14" s="10" t="n">
        <f aca="false">B14/G14</f>
        <v>0.0942771365622006</v>
      </c>
      <c r="J14" s="4" t="s">
        <v>24</v>
      </c>
      <c r="K14" s="6" t="n">
        <v>1</v>
      </c>
      <c r="L14" s="6" t="n">
        <v>2960658.9</v>
      </c>
      <c r="M14" s="7" t="n">
        <v>790</v>
      </c>
      <c r="N14" s="11" t="n">
        <f aca="false">L14/M14</f>
        <v>3747.66949367089</v>
      </c>
      <c r="O14" s="8" t="n">
        <f aca="false">N14/K14</f>
        <v>3747.66949367089</v>
      </c>
      <c r="P14" s="6" t="n">
        <v>0</v>
      </c>
      <c r="Q14" s="9"/>
      <c r="R14" s="3"/>
    </row>
    <row r="16" customFormat="false" ht="14.25" hidden="false" customHeight="false" outlineLevel="0" collapsed="false">
      <c r="A16" s="2" t="s">
        <v>0</v>
      </c>
      <c r="B16" s="1" t="n">
        <v>4156946</v>
      </c>
      <c r="J16" s="12" t="s">
        <v>0</v>
      </c>
      <c r="K16" s="13" t="n">
        <v>107552</v>
      </c>
      <c r="L16" s="2" t="s">
        <v>1</v>
      </c>
    </row>
    <row r="17" customFormat="false" ht="14.25" hidden="false" customHeight="false" outlineLevel="0" collapsed="false">
      <c r="A17" s="14"/>
      <c r="B17" s="15" t="s">
        <v>2</v>
      </c>
      <c r="C17" s="15" t="s">
        <v>3</v>
      </c>
      <c r="D17" s="15" t="s">
        <v>4</v>
      </c>
      <c r="E17" s="15" t="s">
        <v>5</v>
      </c>
      <c r="F17" s="15" t="s">
        <v>6</v>
      </c>
      <c r="G17" s="15" t="s">
        <v>7</v>
      </c>
      <c r="H17" s="15" t="s">
        <v>8</v>
      </c>
      <c r="I17" s="15" t="s">
        <v>9</v>
      </c>
      <c r="J17" s="14"/>
      <c r="K17" s="15" t="s">
        <v>2</v>
      </c>
      <c r="L17" s="15" t="s">
        <v>3</v>
      </c>
      <c r="M17" s="15" t="s">
        <v>4</v>
      </c>
      <c r="N17" s="15" t="s">
        <v>5</v>
      </c>
      <c r="O17" s="15" t="s">
        <v>6</v>
      </c>
      <c r="P17" s="15" t="s">
        <v>10</v>
      </c>
      <c r="Q17" s="15" t="s">
        <v>11</v>
      </c>
      <c r="R17" s="15" t="s">
        <v>12</v>
      </c>
    </row>
    <row r="18" customFormat="false" ht="14.25" hidden="false" customHeight="false" outlineLevel="0" collapsed="false">
      <c r="A18" s="16" t="s">
        <v>13</v>
      </c>
      <c r="B18" s="6" t="n">
        <f aca="false">97880+151505+47350</f>
        <v>296735</v>
      </c>
      <c r="C18" s="6" t="n">
        <v>18286055.28</v>
      </c>
      <c r="D18" s="7" t="n">
        <v>805.5</v>
      </c>
      <c r="E18" s="6" t="n">
        <f aca="false">C18/D18</f>
        <v>22701.4963128492</v>
      </c>
      <c r="F18" s="8" t="n">
        <f aca="false">E18/B18</f>
        <v>0.0765042759123432</v>
      </c>
      <c r="G18" s="6" t="n">
        <v>2196843</v>
      </c>
      <c r="H18" s="9" t="n">
        <f aca="false">E18/G18</f>
        <v>0.0103336908066936</v>
      </c>
      <c r="I18" s="10" t="n">
        <f aca="false">B18/G18</f>
        <v>0.135073375748745</v>
      </c>
      <c r="J18" s="16" t="s">
        <v>13</v>
      </c>
      <c r="K18" s="6" t="n">
        <v>1373</v>
      </c>
      <c r="L18" s="6" t="n">
        <v>5079576</v>
      </c>
      <c r="M18" s="7" t="n">
        <v>805.5</v>
      </c>
      <c r="N18" s="6" t="n">
        <f aca="false">L18/M18</f>
        <v>6306.11545623836</v>
      </c>
      <c r="O18" s="17" t="n">
        <f aca="false">N18/K18</f>
        <v>4.59294643571621</v>
      </c>
      <c r="P18" s="6" t="n">
        <v>19958</v>
      </c>
      <c r="Q18" s="9" t="n">
        <f aca="false">N18/P18</f>
        <v>0.315969308359473</v>
      </c>
      <c r="R18" s="10" t="n">
        <f aca="false">K18/P18</f>
        <v>0.0687944683836056</v>
      </c>
    </row>
    <row r="19" customFormat="false" ht="14.25" hidden="false" customHeight="false" outlineLevel="0" collapsed="false">
      <c r="A19" s="16" t="s">
        <v>14</v>
      </c>
      <c r="B19" s="6" t="n">
        <f aca="false">111425+169940+66270</f>
        <v>347635</v>
      </c>
      <c r="C19" s="6" t="n">
        <v>29363562.32</v>
      </c>
      <c r="D19" s="7" t="n">
        <v>841.7</v>
      </c>
      <c r="E19" s="6" t="n">
        <f aca="false">C19/D19</f>
        <v>34886.0191517168</v>
      </c>
      <c r="F19" s="8" t="n">
        <f aca="false">E19/B19</f>
        <v>0.100352436180813</v>
      </c>
      <c r="G19" s="18" t="n">
        <v>2969960</v>
      </c>
      <c r="H19" s="9" t="n">
        <f aca="false">E19/G19</f>
        <v>0.0117462925937443</v>
      </c>
      <c r="I19" s="10" t="n">
        <f aca="false">B19/G19</f>
        <v>0.117050397985158</v>
      </c>
      <c r="J19" s="16" t="s">
        <v>14</v>
      </c>
      <c r="K19" s="6" t="n">
        <v>1352</v>
      </c>
      <c r="L19" s="6" t="n">
        <v>5004675</v>
      </c>
      <c r="M19" s="7" t="n">
        <v>841.7</v>
      </c>
      <c r="N19" s="6" t="n">
        <f aca="false">L19/M19</f>
        <v>5945.9130331472</v>
      </c>
      <c r="O19" s="17" t="n">
        <f aca="false">N19/K19</f>
        <v>4.39786466948758</v>
      </c>
      <c r="P19" s="6" t="n">
        <v>15358</v>
      </c>
      <c r="Q19" s="9" t="n">
        <f aca="false">N19/P19</f>
        <v>0.387154123788723</v>
      </c>
      <c r="R19" s="10" t="n">
        <f aca="false">K19/P19</f>
        <v>0.0880322958718583</v>
      </c>
    </row>
    <row r="20" customFormat="false" ht="14.25" hidden="false" customHeight="false" outlineLevel="0" collapsed="false">
      <c r="A20" s="16" t="s">
        <v>15</v>
      </c>
      <c r="B20" s="6" t="n">
        <v>319955</v>
      </c>
      <c r="C20" s="6" t="n">
        <v>32216987</v>
      </c>
      <c r="D20" s="7" t="n">
        <v>858</v>
      </c>
      <c r="E20" s="6" t="n">
        <f aca="false">C20/D20</f>
        <v>37548.9358974359</v>
      </c>
      <c r="F20" s="8" t="n">
        <f aca="false">E20/B20</f>
        <v>0.117356927997487</v>
      </c>
      <c r="G20" s="6" t="n">
        <v>1867230</v>
      </c>
      <c r="H20" s="9" t="n">
        <f aca="false">E20/G20</f>
        <v>0.020109432634135</v>
      </c>
      <c r="I20" s="10" t="n">
        <f aca="false">B20/G20</f>
        <v>0.171352752472914</v>
      </c>
      <c r="J20" s="16" t="s">
        <v>15</v>
      </c>
      <c r="K20" s="6" t="n">
        <v>1863</v>
      </c>
      <c r="L20" s="6" t="n">
        <v>6894514</v>
      </c>
      <c r="M20" s="7" t="n">
        <v>858</v>
      </c>
      <c r="N20" s="6" t="n">
        <f aca="false">L20/M20</f>
        <v>8035.5641025641</v>
      </c>
      <c r="O20" s="17" t="n">
        <f aca="false">N20/K20</f>
        <v>4.31323891710365</v>
      </c>
      <c r="P20" s="6" t="n">
        <v>0</v>
      </c>
      <c r="Q20" s="9"/>
      <c r="R20" s="10"/>
    </row>
    <row r="21" customFormat="false" ht="14.25" hidden="false" customHeight="false" outlineLevel="0" collapsed="false">
      <c r="A21" s="16" t="s">
        <v>16</v>
      </c>
      <c r="B21" s="6" t="n">
        <v>313960</v>
      </c>
      <c r="C21" s="6" t="n">
        <v>31715558</v>
      </c>
      <c r="D21" s="7" t="n">
        <v>888</v>
      </c>
      <c r="E21" s="6" t="n">
        <f aca="false">C21/D21</f>
        <v>35715.7184684685</v>
      </c>
      <c r="F21" s="8" t="n">
        <f aca="false">E21/B21</f>
        <v>0.113758817901862</v>
      </c>
      <c r="G21" s="6" t="n">
        <v>2025427</v>
      </c>
      <c r="H21" s="9" t="n">
        <f aca="false">E21/G21</f>
        <v>0.0176336735258632</v>
      </c>
      <c r="I21" s="10" t="n">
        <f aca="false">B21/G21</f>
        <v>0.155009289399223</v>
      </c>
      <c r="J21" s="16" t="s">
        <v>16</v>
      </c>
      <c r="K21" s="6" t="n">
        <v>1863</v>
      </c>
      <c r="L21" s="6" t="n">
        <v>6894514</v>
      </c>
      <c r="M21" s="7" t="n">
        <v>888</v>
      </c>
      <c r="N21" s="6" t="n">
        <f aca="false">L21/M21</f>
        <v>7764.09234234234</v>
      </c>
      <c r="O21" s="17" t="n">
        <f aca="false">N21/K21</f>
        <v>4.16752138612042</v>
      </c>
      <c r="P21" s="6" t="n">
        <v>11472</v>
      </c>
      <c r="Q21" s="9" t="n">
        <f aca="false">N21/P21</f>
        <v>0.676786292045183</v>
      </c>
      <c r="R21" s="10" t="n">
        <f aca="false">K21/P21</f>
        <v>0.16239539748954</v>
      </c>
    </row>
    <row r="22" customFormat="false" ht="14.25" hidden="false" customHeight="false" outlineLevel="0" collapsed="false">
      <c r="A22" s="16" t="s">
        <v>17</v>
      </c>
      <c r="B22" s="6" t="n">
        <v>370005</v>
      </c>
      <c r="C22" s="6" t="n">
        <v>35697362</v>
      </c>
      <c r="D22" s="7" t="n">
        <v>906</v>
      </c>
      <c r="E22" s="6" t="n">
        <f aca="false">C22/D22</f>
        <v>39401.0618101545</v>
      </c>
      <c r="F22" s="8" t="n">
        <f aca="false">E22/B22</f>
        <v>0.106487917217753</v>
      </c>
      <c r="G22" s="6" t="n">
        <v>3160491</v>
      </c>
      <c r="H22" s="9" t="n">
        <f aca="false">E22/G22</f>
        <v>0.0124667533652697</v>
      </c>
      <c r="I22" s="10" t="n">
        <f aca="false">B22/G22</f>
        <v>0.117071999255812</v>
      </c>
      <c r="J22" s="16" t="s">
        <v>17</v>
      </c>
      <c r="K22" s="6" t="n">
        <v>2052</v>
      </c>
      <c r="L22" s="6" t="n">
        <v>7593209</v>
      </c>
      <c r="M22" s="7" t="n">
        <v>906</v>
      </c>
      <c r="N22" s="6" t="n">
        <f aca="false">L22/M22</f>
        <v>8381.02538631347</v>
      </c>
      <c r="O22" s="17" t="n">
        <f aca="false">N22/K22</f>
        <v>4.08432036370052</v>
      </c>
      <c r="P22" s="6" t="n">
        <v>11664</v>
      </c>
      <c r="Q22" s="9" t="n">
        <f aca="false">N22/P22</f>
        <v>0.718537841762128</v>
      </c>
      <c r="R22" s="10" t="n">
        <f aca="false">K22/P22</f>
        <v>0.175925925925926</v>
      </c>
    </row>
    <row r="23" customFormat="false" ht="14.25" hidden="false" customHeight="false" outlineLevel="0" collapsed="false">
      <c r="A23" s="16" t="s">
        <v>18</v>
      </c>
      <c r="B23" s="6" t="n">
        <v>249650</v>
      </c>
      <c r="C23" s="6" t="n">
        <v>39545373</v>
      </c>
      <c r="D23" s="7" t="n">
        <v>923</v>
      </c>
      <c r="E23" s="6" t="n">
        <f aca="false">C23/D23</f>
        <v>42844.3911159263</v>
      </c>
      <c r="F23" s="8" t="n">
        <f aca="false">E23/B23</f>
        <v>0.1716178294249</v>
      </c>
      <c r="G23" s="6" t="n">
        <v>1746477</v>
      </c>
      <c r="H23" s="9" t="n">
        <f aca="false">E23/G23</f>
        <v>0.024531895419136</v>
      </c>
      <c r="I23" s="10" t="n">
        <f aca="false">B23/G23</f>
        <v>0.142944911384461</v>
      </c>
      <c r="J23" s="16" t="s">
        <v>18</v>
      </c>
      <c r="K23" s="6" t="n">
        <v>3948</v>
      </c>
      <c r="L23" s="6" t="n">
        <v>8967410</v>
      </c>
      <c r="M23" s="7" t="n">
        <v>923</v>
      </c>
      <c r="N23" s="6" t="n">
        <f aca="false">L23/M23</f>
        <v>9715.50379198267</v>
      </c>
      <c r="O23" s="17" t="n">
        <f aca="false">N23/K23</f>
        <v>2.46086722188011</v>
      </c>
      <c r="P23" s="6" t="n">
        <v>7200</v>
      </c>
      <c r="Q23" s="9" t="n">
        <f aca="false">N23/P23</f>
        <v>1.34937552666426</v>
      </c>
      <c r="R23" s="10" t="n">
        <f aca="false">K23/P23</f>
        <v>0.548333333333333</v>
      </c>
    </row>
    <row r="24" customFormat="false" ht="14.25" hidden="false" customHeight="false" outlineLevel="0" collapsed="false">
      <c r="A24" s="16" t="s">
        <v>19</v>
      </c>
      <c r="B24" s="6" t="n">
        <v>381437</v>
      </c>
      <c r="C24" s="6" t="n">
        <v>46807707</v>
      </c>
      <c r="D24" s="7" t="n">
        <v>942</v>
      </c>
      <c r="E24" s="6" t="n">
        <f aca="false">C24/D24</f>
        <v>49689.7101910828</v>
      </c>
      <c r="F24" s="8" t="n">
        <f aca="false">E24/B24</f>
        <v>0.130269769820659</v>
      </c>
      <c r="G24" s="6" t="n">
        <v>2603936</v>
      </c>
      <c r="H24" s="9" t="n">
        <f aca="false">E24/G24</f>
        <v>0.0190825389683475</v>
      </c>
      <c r="I24" s="10" t="n">
        <f aca="false">B24/G24</f>
        <v>0.146484783036142</v>
      </c>
      <c r="J24" s="16" t="s">
        <v>19</v>
      </c>
      <c r="K24" s="6" t="n">
        <v>3855</v>
      </c>
      <c r="L24" s="6" t="n">
        <v>8756736</v>
      </c>
      <c r="M24" s="7" t="n">
        <v>942</v>
      </c>
      <c r="N24" s="6" t="n">
        <f aca="false">L24/M24</f>
        <v>9295.89808917198</v>
      </c>
      <c r="O24" s="17" t="n">
        <f aca="false">N24/K24</f>
        <v>2.41138731236627</v>
      </c>
      <c r="P24" s="6" t="n">
        <v>4896</v>
      </c>
      <c r="Q24" s="9" t="n">
        <f aca="false">N24/P24</f>
        <v>1.89867199533741</v>
      </c>
      <c r="R24" s="10" t="n">
        <f aca="false">K24/P24</f>
        <v>0.787377450980392</v>
      </c>
    </row>
    <row r="25" customFormat="false" ht="14.25" hidden="false" customHeight="false" outlineLevel="0" collapsed="false">
      <c r="A25" s="16" t="s">
        <v>20</v>
      </c>
      <c r="B25" s="6" t="n">
        <v>371130</v>
      </c>
      <c r="C25" s="6" t="n">
        <v>47316894</v>
      </c>
      <c r="D25" s="7" t="n">
        <v>961</v>
      </c>
      <c r="E25" s="6" t="n">
        <f aca="false">C25/D25</f>
        <v>49237.1425598335</v>
      </c>
      <c r="F25" s="8" t="n">
        <f aca="false">E25/B25</f>
        <v>0.132668182469306</v>
      </c>
      <c r="G25" s="6" t="n">
        <v>1407612</v>
      </c>
      <c r="H25" s="9" t="n">
        <f aca="false">E25/G25</f>
        <v>0.0349792006318741</v>
      </c>
      <c r="I25" s="10" t="n">
        <f aca="false">B25/G25</f>
        <v>0.263659303842252</v>
      </c>
      <c r="J25" s="16" t="s">
        <v>20</v>
      </c>
      <c r="K25" s="6" t="n">
        <v>4032</v>
      </c>
      <c r="L25" s="6" t="n">
        <v>9157682</v>
      </c>
      <c r="M25" s="7" t="n">
        <v>961</v>
      </c>
      <c r="N25" s="6" t="n">
        <f aca="false">L25/M25</f>
        <v>9529.32570239334</v>
      </c>
      <c r="O25" s="17" t="n">
        <f aca="false">N25/K25</f>
        <v>2.36342403333168</v>
      </c>
      <c r="P25" s="6" t="n">
        <v>11280</v>
      </c>
      <c r="Q25" s="9" t="n">
        <f aca="false">N25/P25</f>
        <v>0.84479837787175</v>
      </c>
      <c r="R25" s="10" t="n">
        <f aca="false">K25/P25</f>
        <v>0.357446808510638</v>
      </c>
    </row>
    <row r="26" customFormat="false" ht="14.25" hidden="false" customHeight="false" outlineLevel="0" collapsed="false">
      <c r="A26" s="16" t="s">
        <v>21</v>
      </c>
      <c r="B26" s="6" t="n">
        <v>311615</v>
      </c>
      <c r="C26" s="6" t="n">
        <v>44268944</v>
      </c>
      <c r="D26" s="7" t="n">
        <v>991</v>
      </c>
      <c r="E26" s="6" t="n">
        <f aca="false">C26/D26</f>
        <v>44670.9828456105</v>
      </c>
      <c r="F26" s="8" t="n">
        <f aca="false">E26/B26</f>
        <v>0.143353121145036</v>
      </c>
      <c r="G26" s="6" t="n">
        <v>2218621</v>
      </c>
      <c r="H26" s="9" t="n">
        <f aca="false">E26/G26</f>
        <v>0.0201345713601424</v>
      </c>
      <c r="I26" s="10" t="n">
        <f aca="false">B26/G26</f>
        <v>0.140454363318476</v>
      </c>
      <c r="J26" s="16" t="s">
        <v>21</v>
      </c>
      <c r="K26" s="6" t="n">
        <v>5544</v>
      </c>
      <c r="L26" s="6" t="n">
        <v>9473662</v>
      </c>
      <c r="M26" s="7" t="n">
        <v>991</v>
      </c>
      <c r="N26" s="6" t="n">
        <f aca="false">L26/M26</f>
        <v>9559.69929364279</v>
      </c>
      <c r="O26" s="17" t="n">
        <f aca="false">N26/K26</f>
        <v>1.7243324844233</v>
      </c>
      <c r="P26" s="6" t="n">
        <v>7728</v>
      </c>
      <c r="Q26" s="9" t="n">
        <f aca="false">N26/P26</f>
        <v>1.23702113012976</v>
      </c>
      <c r="R26" s="10" t="n">
        <f aca="false">K26/P26</f>
        <v>0.717391304347826</v>
      </c>
    </row>
    <row r="27" customFormat="false" ht="14.25" hidden="false" customHeight="false" outlineLevel="0" collapsed="false">
      <c r="A27" s="16" t="s">
        <v>22</v>
      </c>
      <c r="B27" s="6" t="n">
        <v>374735</v>
      </c>
      <c r="C27" s="6" t="n">
        <v>59088960</v>
      </c>
      <c r="D27" s="7" t="n">
        <v>972</v>
      </c>
      <c r="E27" s="6" t="n">
        <f aca="false">C27/D27</f>
        <v>60791.1111111111</v>
      </c>
      <c r="F27" s="8" t="n">
        <f aca="false">E27/B27</f>
        <v>0.162224268112429</v>
      </c>
      <c r="G27" s="6" t="n">
        <v>2887852</v>
      </c>
      <c r="H27" s="9" t="n">
        <f aca="false">E27/G27</f>
        <v>0.0210506324808581</v>
      </c>
      <c r="I27" s="10" t="n">
        <f aca="false">B27/G27</f>
        <v>0.129762536307262</v>
      </c>
      <c r="J27" s="16" t="s">
        <v>22</v>
      </c>
      <c r="K27" s="6" t="n">
        <v>4932</v>
      </c>
      <c r="L27" s="6" t="n">
        <v>14342392</v>
      </c>
      <c r="M27" s="7" t="n">
        <v>972</v>
      </c>
      <c r="N27" s="6" t="n">
        <f aca="false">L27/M27</f>
        <v>14755.5473251029</v>
      </c>
      <c r="O27" s="17" t="n">
        <f aca="false">N27/K27</f>
        <v>2.99179791668753</v>
      </c>
      <c r="P27" s="6" t="n">
        <v>13104</v>
      </c>
      <c r="Q27" s="9" t="n">
        <f aca="false">N27/P27</f>
        <v>1.12603383128074</v>
      </c>
      <c r="R27" s="10" t="n">
        <f aca="false">K27/P27</f>
        <v>0.376373626373626</v>
      </c>
    </row>
    <row r="28" customFormat="false" ht="14.25" hidden="false" customHeight="false" outlineLevel="0" collapsed="false">
      <c r="A28" s="16" t="s">
        <v>23</v>
      </c>
      <c r="B28" s="6" t="n">
        <v>409235</v>
      </c>
      <c r="C28" s="6" t="n">
        <v>54475169</v>
      </c>
      <c r="D28" s="7" t="n">
        <v>979</v>
      </c>
      <c r="E28" s="6" t="n">
        <f aca="false">C28/D28</f>
        <v>55643.6864147089</v>
      </c>
      <c r="F28" s="8" t="n">
        <f aca="false">E28/B28</f>
        <v>0.135970008466306</v>
      </c>
      <c r="G28" s="6" t="n">
        <v>2949273</v>
      </c>
      <c r="H28" s="9" t="n">
        <f aca="false">E28/G28</f>
        <v>0.0188669161568661</v>
      </c>
      <c r="I28" s="10" t="n">
        <f aca="false">B28/G28</f>
        <v>0.138757924410524</v>
      </c>
      <c r="J28" s="16" t="s">
        <v>23</v>
      </c>
      <c r="K28" s="6" t="n">
        <v>5076</v>
      </c>
      <c r="L28" s="6" t="n">
        <v>14191349</v>
      </c>
      <c r="M28" s="7" t="n">
        <v>979</v>
      </c>
      <c r="N28" s="6" t="n">
        <f aca="false">L28/M28</f>
        <v>14495.759959142</v>
      </c>
      <c r="O28" s="17" t="n">
        <f aca="false">N28/K28</f>
        <v>2.85574467280181</v>
      </c>
      <c r="P28" s="6" t="n">
        <v>34464</v>
      </c>
      <c r="Q28" s="9" t="n">
        <f aca="false">N28/P28</f>
        <v>0.420605848396645</v>
      </c>
      <c r="R28" s="10" t="n">
        <f aca="false">K28/P28</f>
        <v>0.147284122562674</v>
      </c>
    </row>
    <row r="29" customFormat="false" ht="14.25" hidden="false" customHeight="false" outlineLevel="0" collapsed="false">
      <c r="A29" s="16" t="s">
        <v>24</v>
      </c>
      <c r="B29" s="6" t="n">
        <v>230130</v>
      </c>
      <c r="C29" s="6" t="n">
        <v>37072281</v>
      </c>
      <c r="D29" s="7" t="n">
        <v>1002</v>
      </c>
      <c r="E29" s="6" t="n">
        <f aca="false">C29/D29</f>
        <v>36998.2844311377</v>
      </c>
      <c r="F29" s="8" t="n">
        <f aca="false">E29/B29</f>
        <v>0.160771235523998</v>
      </c>
      <c r="G29" s="6" t="n">
        <v>1062953</v>
      </c>
      <c r="H29" s="9" t="n">
        <f aca="false">E29/G29</f>
        <v>0.0348070746600628</v>
      </c>
      <c r="I29" s="10" t="n">
        <f aca="false">B29/G29</f>
        <v>0.216500635493761</v>
      </c>
      <c r="J29" s="16" t="s">
        <v>24</v>
      </c>
      <c r="K29" s="6" t="n">
        <v>6084</v>
      </c>
      <c r="L29" s="6" t="n">
        <v>14447495</v>
      </c>
      <c r="M29" s="7" t="n">
        <v>1002</v>
      </c>
      <c r="N29" s="6" t="n">
        <f aca="false">L29/M29</f>
        <v>14418.6576846307</v>
      </c>
      <c r="O29" s="17" t="n">
        <f aca="false">N29/K29</f>
        <v>2.36993058590249</v>
      </c>
      <c r="P29" s="6" t="n">
        <v>12480</v>
      </c>
      <c r="Q29" s="9" t="n">
        <f aca="false">N29/P29</f>
        <v>1.15534116062746</v>
      </c>
      <c r="R29" s="10" t="n">
        <f aca="false">K29/P29</f>
        <v>0.4875</v>
      </c>
    </row>
    <row r="31" customFormat="false" ht="14.25" hidden="false" customHeight="false" outlineLevel="0" collapsed="false">
      <c r="A31" s="2" t="s">
        <v>0</v>
      </c>
      <c r="B31" s="1" t="n">
        <v>4156946</v>
      </c>
      <c r="C31" s="19" t="s">
        <v>25</v>
      </c>
      <c r="F31" s="19" t="s">
        <v>26</v>
      </c>
      <c r="K31" s="20" t="s">
        <v>0</v>
      </c>
      <c r="L31" s="21" t="n">
        <v>107552</v>
      </c>
      <c r="M31" s="19" t="s">
        <v>27</v>
      </c>
    </row>
    <row r="32" customFormat="false" ht="14.25" hidden="false" customHeight="false" outlineLevel="0" collapsed="false">
      <c r="A32" s="22"/>
      <c r="B32" s="23" t="s">
        <v>2</v>
      </c>
      <c r="C32" s="23" t="s">
        <v>3</v>
      </c>
      <c r="D32" s="23" t="s">
        <v>4</v>
      </c>
      <c r="E32" s="23" t="s">
        <v>5</v>
      </c>
      <c r="F32" s="23" t="s">
        <v>6</v>
      </c>
      <c r="G32" s="23" t="s">
        <v>7</v>
      </c>
      <c r="H32" s="23" t="s">
        <v>8</v>
      </c>
      <c r="I32" s="23" t="s">
        <v>9</v>
      </c>
      <c r="J32" s="24" t="s">
        <v>28</v>
      </c>
      <c r="K32" s="22"/>
      <c r="L32" s="23" t="s">
        <v>2</v>
      </c>
      <c r="M32" s="23" t="s">
        <v>3</v>
      </c>
      <c r="N32" s="23" t="s">
        <v>4</v>
      </c>
      <c r="O32" s="23" t="s">
        <v>5</v>
      </c>
      <c r="P32" s="23" t="s">
        <v>6</v>
      </c>
      <c r="Q32" s="23" t="s">
        <v>10</v>
      </c>
      <c r="R32" s="23" t="s">
        <v>11</v>
      </c>
      <c r="S32" s="23" t="s">
        <v>12</v>
      </c>
      <c r="T32" s="25" t="s">
        <v>29</v>
      </c>
    </row>
    <row r="33" customFormat="false" ht="14.25" hidden="false" customHeight="false" outlineLevel="0" collapsed="false">
      <c r="A33" s="26" t="s">
        <v>13</v>
      </c>
      <c r="B33" s="6" t="n">
        <v>148340</v>
      </c>
      <c r="C33" s="6" t="n">
        <v>30891849</v>
      </c>
      <c r="D33" s="7" t="n">
        <v>1074</v>
      </c>
      <c r="E33" s="6" t="n">
        <f aca="false">C33/D33</f>
        <v>28763.3603351955</v>
      </c>
      <c r="F33" s="8" t="n">
        <f aca="false">E33/B33</f>
        <v>0.193901579716837</v>
      </c>
      <c r="G33" s="6" t="n">
        <v>365645</v>
      </c>
      <c r="H33" s="9" t="n">
        <f aca="false">E33/G33</f>
        <v>0.078664716692955</v>
      </c>
      <c r="I33" s="10" t="n">
        <f aca="false">B33/G33</f>
        <v>0.405694047505094</v>
      </c>
      <c r="J33" s="3"/>
      <c r="K33" s="26" t="s">
        <v>13</v>
      </c>
      <c r="L33" s="6" t="n">
        <v>61020</v>
      </c>
      <c r="M33" s="6" t="n">
        <v>28478675</v>
      </c>
      <c r="N33" s="7" t="n">
        <v>1074</v>
      </c>
      <c r="O33" s="6" t="n">
        <f aca="false">M33/N33</f>
        <v>26516.45716946</v>
      </c>
      <c r="P33" s="27" t="n">
        <f aca="false">O33/L33</f>
        <v>0.43455354260013</v>
      </c>
      <c r="Q33" s="6" t="n">
        <f aca="false">122650+127099</f>
        <v>249749</v>
      </c>
      <c r="R33" s="9" t="n">
        <f aca="false">O33/Q33</f>
        <v>0.106172425793336</v>
      </c>
      <c r="S33" s="10" t="n">
        <f aca="false">L33/Q33</f>
        <v>0.244325302603814</v>
      </c>
      <c r="T33" s="3"/>
    </row>
    <row r="34" customFormat="false" ht="14.25" hidden="false" customHeight="false" outlineLevel="0" collapsed="false">
      <c r="A34" s="26" t="s">
        <v>14</v>
      </c>
      <c r="B34" s="6" t="n">
        <v>161773</v>
      </c>
      <c r="C34" s="6" t="n">
        <v>35294347</v>
      </c>
      <c r="D34" s="7" t="n">
        <v>1084</v>
      </c>
      <c r="E34" s="6" t="n">
        <f aca="false">C34/D34</f>
        <v>32559.360701107</v>
      </c>
      <c r="F34" s="8" t="n">
        <f aca="false">E34/B34</f>
        <v>0.201265728527672</v>
      </c>
      <c r="G34" s="6" t="n">
        <v>419403</v>
      </c>
      <c r="H34" s="9" t="n">
        <f aca="false">E34/G34</f>
        <v>0.0776326366313713</v>
      </c>
      <c r="I34" s="10" t="n">
        <f aca="false">B34/G34</f>
        <v>0.385722085917364</v>
      </c>
      <c r="J34" s="3"/>
      <c r="K34" s="26" t="s">
        <v>14</v>
      </c>
      <c r="L34" s="6" t="n">
        <v>198072</v>
      </c>
      <c r="M34" s="6" t="n">
        <v>36739215</v>
      </c>
      <c r="N34" s="7" t="n">
        <v>1084</v>
      </c>
      <c r="O34" s="6" t="n">
        <f aca="false">M34/N34</f>
        <v>33892.2647601476</v>
      </c>
      <c r="P34" s="27" t="n">
        <f aca="false">O34/L34</f>
        <v>0.171110832223371</v>
      </c>
      <c r="Q34" s="6" t="n">
        <v>130227</v>
      </c>
      <c r="R34" s="9" t="n">
        <f aca="false">O34/Q34</f>
        <v>0.26025528316054</v>
      </c>
      <c r="S34" s="10" t="n">
        <f aca="false">L34/Q34</f>
        <v>1.52097491303647</v>
      </c>
      <c r="T34" s="3"/>
    </row>
    <row r="35" customFormat="false" ht="14.25" hidden="false" customHeight="false" outlineLevel="0" collapsed="false">
      <c r="A35" s="26" t="s">
        <v>15</v>
      </c>
      <c r="B35" s="6" t="n">
        <v>151287</v>
      </c>
      <c r="C35" s="6" t="n">
        <v>36118133</v>
      </c>
      <c r="D35" s="7" t="n">
        <v>1094</v>
      </c>
      <c r="E35" s="6" t="n">
        <f aca="false">C35/D35</f>
        <v>33014.7468007313</v>
      </c>
      <c r="F35" s="8" t="n">
        <f aca="false">E35/B35</f>
        <v>0.218225933495484</v>
      </c>
      <c r="G35" s="6" t="n">
        <v>422762</v>
      </c>
      <c r="H35" s="9" t="n">
        <f aca="false">E35/G35</f>
        <v>0.078092985653231</v>
      </c>
      <c r="I35" s="10" t="n">
        <f aca="false">B35/G35</f>
        <v>0.357853827922093</v>
      </c>
      <c r="J35" s="3"/>
      <c r="K35" s="26" t="s">
        <v>15</v>
      </c>
      <c r="L35" s="6" t="n">
        <v>179748</v>
      </c>
      <c r="M35" s="6" t="n">
        <v>33949544</v>
      </c>
      <c r="N35" s="7" t="n">
        <v>1094</v>
      </c>
      <c r="O35" s="6" t="n">
        <f aca="false">M35/N35</f>
        <v>31032.4899451554</v>
      </c>
      <c r="P35" s="27" t="n">
        <f aca="false">O35/L35</f>
        <v>0.172644424111286</v>
      </c>
      <c r="Q35" s="6" t="n">
        <f aca="false">139761+7200+1867</f>
        <v>148828</v>
      </c>
      <c r="R35" s="9" t="n">
        <f aca="false">O35/Q35</f>
        <v>0.208512443526456</v>
      </c>
      <c r="S35" s="10" t="n">
        <f aca="false">L35/Q35</f>
        <v>1.20775660493993</v>
      </c>
      <c r="T35" s="3"/>
    </row>
    <row r="36" customFormat="false" ht="14.25" hidden="false" customHeight="false" outlineLevel="0" collapsed="false">
      <c r="A36" s="26" t="s">
        <v>16</v>
      </c>
      <c r="B36" s="6" t="n">
        <v>213995</v>
      </c>
      <c r="C36" s="6" t="n">
        <v>44270737</v>
      </c>
      <c r="D36" s="7" t="n">
        <v>1114</v>
      </c>
      <c r="E36" s="6" t="n">
        <f aca="false">C36/D36</f>
        <v>39740.3384201077</v>
      </c>
      <c r="F36" s="8" t="n">
        <f aca="false">E36/B36</f>
        <v>0.18570685492702</v>
      </c>
      <c r="G36" s="6" t="n">
        <v>1518390</v>
      </c>
      <c r="H36" s="9" t="n">
        <f aca="false">E36/G36</f>
        <v>0.0261726818670485</v>
      </c>
      <c r="I36" s="10" t="n">
        <f aca="false">B36/G36</f>
        <v>0.140935464538096</v>
      </c>
      <c r="J36" s="3"/>
      <c r="K36" s="26" t="s">
        <v>16</v>
      </c>
      <c r="L36" s="6" t="n">
        <v>144900</v>
      </c>
      <c r="M36" s="6" t="n">
        <v>29441972</v>
      </c>
      <c r="N36" s="7" t="n">
        <v>1114</v>
      </c>
      <c r="O36" s="6" t="n">
        <f aca="false">M36/N36</f>
        <v>26429.0592459605</v>
      </c>
      <c r="P36" s="27" t="n">
        <f aca="false">O36/L36</f>
        <v>0.182395163878264</v>
      </c>
      <c r="Q36" s="6" t="n">
        <v>286814</v>
      </c>
      <c r="R36" s="9" t="n">
        <f aca="false">O36/Q36</f>
        <v>0.0921470334291928</v>
      </c>
      <c r="S36" s="10" t="n">
        <f aca="false">L36/Q36</f>
        <v>0.505205464168416</v>
      </c>
      <c r="T36" s="3"/>
    </row>
    <row r="37" customFormat="false" ht="14.25" hidden="false" customHeight="false" outlineLevel="0" collapsed="false">
      <c r="A37" s="26" t="s">
        <v>17</v>
      </c>
      <c r="B37" s="6" t="n">
        <v>219258.4</v>
      </c>
      <c r="C37" s="6" t="n">
        <v>45818312</v>
      </c>
      <c r="D37" s="7" t="n">
        <v>1162</v>
      </c>
      <c r="E37" s="6" t="n">
        <f aca="false">C37/D37</f>
        <v>39430.5611015491</v>
      </c>
      <c r="F37" s="8" t="n">
        <f aca="false">E37/B37</f>
        <v>0.179836034111118</v>
      </c>
      <c r="G37" s="6" t="n">
        <v>2413571</v>
      </c>
      <c r="H37" s="9" t="n">
        <f aca="false">E37/G37</f>
        <v>0.0163370214099975</v>
      </c>
      <c r="I37" s="10" t="n">
        <f aca="false">B37/G37</f>
        <v>0.0908439818012397</v>
      </c>
      <c r="J37" s="7" t="n">
        <v>681</v>
      </c>
      <c r="K37" s="26" t="s">
        <v>17</v>
      </c>
      <c r="L37" s="6" t="n">
        <v>142992</v>
      </c>
      <c r="M37" s="6" t="n">
        <v>29573431.64</v>
      </c>
      <c r="N37" s="7" t="n">
        <v>1162</v>
      </c>
      <c r="O37" s="6" t="n">
        <f aca="false">M37/N37</f>
        <v>25450.4575215146</v>
      </c>
      <c r="P37" s="27" t="n">
        <f aca="false">O37/L37</f>
        <v>0.177985184636306</v>
      </c>
      <c r="Q37" s="6" t="n">
        <v>405306</v>
      </c>
      <c r="R37" s="9" t="n">
        <f aca="false">O37/Q37</f>
        <v>0.0627931921104416</v>
      </c>
      <c r="S37" s="10" t="n">
        <f aca="false">L37/Q37</f>
        <v>0.352800106586135</v>
      </c>
      <c r="T37" s="7" t="n">
        <v>259</v>
      </c>
    </row>
    <row r="38" customFormat="false" ht="14.25" hidden="false" customHeight="false" outlineLevel="0" collapsed="false">
      <c r="A38" s="26" t="s">
        <v>18</v>
      </c>
      <c r="B38" s="6" t="n">
        <v>256315</v>
      </c>
      <c r="C38" s="6" t="n">
        <v>55417002</v>
      </c>
      <c r="D38" s="7" t="n">
        <v>1213</v>
      </c>
      <c r="E38" s="6" t="n">
        <f aca="false">C38/D38</f>
        <v>45685.9043693322</v>
      </c>
      <c r="F38" s="8" t="n">
        <f aca="false">E38/B38</f>
        <v>0.178241243662416</v>
      </c>
      <c r="G38" s="6" t="n">
        <v>2436084</v>
      </c>
      <c r="H38" s="9" t="n">
        <f aca="false">E38/G38</f>
        <v>0.0187538296583091</v>
      </c>
      <c r="I38" s="10" t="n">
        <f aca="false">B38/G38</f>
        <v>0.10521599419396</v>
      </c>
      <c r="J38" s="7" t="n">
        <v>713</v>
      </c>
      <c r="K38" s="26" t="s">
        <v>18</v>
      </c>
      <c r="L38" s="6" t="n">
        <v>153720</v>
      </c>
      <c r="M38" s="6" t="n">
        <v>33909050</v>
      </c>
      <c r="N38" s="7" t="n">
        <v>1213</v>
      </c>
      <c r="O38" s="6" t="n">
        <f aca="false">M38/N38</f>
        <v>27954.6990931575</v>
      </c>
      <c r="P38" s="27" t="n">
        <f aca="false">O38/L38</f>
        <v>0.181854664930767</v>
      </c>
      <c r="Q38" s="6" t="n">
        <v>368643</v>
      </c>
      <c r="R38" s="9" t="n">
        <f aca="false">O38/Q38</f>
        <v>0.0758313574193935</v>
      </c>
      <c r="S38" s="10" t="n">
        <f aca="false">L38/Q38</f>
        <v>0.416988794036507</v>
      </c>
      <c r="T38" s="7" t="n">
        <v>259</v>
      </c>
    </row>
    <row r="39" customFormat="false" ht="14.25" hidden="false" customHeight="false" outlineLevel="0" collapsed="false">
      <c r="A39" s="26" t="s">
        <v>19</v>
      </c>
      <c r="B39" s="6" t="n">
        <v>266424.95</v>
      </c>
      <c r="C39" s="6" t="n">
        <v>58752903</v>
      </c>
      <c r="D39" s="7" t="n">
        <v>1325</v>
      </c>
      <c r="E39" s="6" t="n">
        <f aca="false">C39/D39</f>
        <v>44341.8135849057</v>
      </c>
      <c r="F39" s="8" t="n">
        <f aca="false">E39/B39</f>
        <v>0.166432661749231</v>
      </c>
      <c r="G39" s="6" t="n">
        <v>2656123</v>
      </c>
      <c r="H39" s="9" t="n">
        <f aca="false">E39/G39</f>
        <v>0.0166941868222615</v>
      </c>
      <c r="I39" s="10" t="n">
        <f aca="false">B39/G39</f>
        <v>0.100305953451704</v>
      </c>
      <c r="J39" s="7" t="n">
        <v>680</v>
      </c>
      <c r="K39" s="26" t="s">
        <v>19</v>
      </c>
      <c r="L39" s="6" t="n">
        <v>180000</v>
      </c>
      <c r="M39" s="6" t="n">
        <v>37054823</v>
      </c>
      <c r="N39" s="7" t="n">
        <v>1325</v>
      </c>
      <c r="O39" s="6" t="n">
        <f aca="false">M39/N39</f>
        <v>27965.9041509434</v>
      </c>
      <c r="P39" s="27" t="n">
        <f aca="false">O39/L39</f>
        <v>0.155366134171908</v>
      </c>
      <c r="Q39" s="6" t="n">
        <v>368859</v>
      </c>
      <c r="R39" s="9" t="n">
        <f aca="false">O39/Q39</f>
        <v>0.0758173289819237</v>
      </c>
      <c r="S39" s="10" t="n">
        <f aca="false">L39/Q39</f>
        <v>0.487991346286793</v>
      </c>
      <c r="T39" s="7" t="n">
        <v>302</v>
      </c>
    </row>
    <row r="40" customFormat="false" ht="14.25" hidden="false" customHeight="false" outlineLevel="0" collapsed="false">
      <c r="A40" s="26" t="s">
        <v>20</v>
      </c>
      <c r="B40" s="6" t="n">
        <v>238700</v>
      </c>
      <c r="C40" s="6" t="n">
        <v>50981118.8</v>
      </c>
      <c r="D40" s="7" t="n">
        <v>1360</v>
      </c>
      <c r="E40" s="6" t="n">
        <f aca="false">C40/D40</f>
        <v>37486.1167647059</v>
      </c>
      <c r="F40" s="8" t="n">
        <f aca="false">E40/B40</f>
        <v>0.157042801695458</v>
      </c>
      <c r="G40" s="6" t="n">
        <v>2590577</v>
      </c>
      <c r="H40" s="9" t="n">
        <f aca="false">E40/G40</f>
        <v>0.0144701804905648</v>
      </c>
      <c r="I40" s="10" t="n">
        <f aca="false">B40/G40</f>
        <v>0.0921416348558642</v>
      </c>
      <c r="J40" s="7" t="n">
        <v>616</v>
      </c>
      <c r="K40" s="26" t="s">
        <v>20</v>
      </c>
      <c r="L40" s="6" t="n">
        <v>137160</v>
      </c>
      <c r="M40" s="6" t="n">
        <v>34918532.3</v>
      </c>
      <c r="N40" s="7" t="n">
        <v>1360</v>
      </c>
      <c r="O40" s="6" t="n">
        <f aca="false">M40/N40</f>
        <v>25675.3913970588</v>
      </c>
      <c r="P40" s="27" t="n">
        <f aca="false">O40/L40</f>
        <v>0.187192996478994</v>
      </c>
      <c r="Q40" s="6" t="n">
        <v>449859</v>
      </c>
      <c r="R40" s="9" t="n">
        <f aca="false">O40/Q40</f>
        <v>0.0570743086101619</v>
      </c>
      <c r="S40" s="10" t="n">
        <f aca="false">L40/Q40</f>
        <v>0.304895533933966</v>
      </c>
      <c r="T40" s="7" t="n">
        <v>288</v>
      </c>
    </row>
    <row r="41" customFormat="false" ht="14.25" hidden="false" customHeight="false" outlineLevel="0" collapsed="false">
      <c r="A41" s="26" t="s">
        <v>21</v>
      </c>
      <c r="B41" s="6" t="n">
        <f aca="false">96720+41160+118750</f>
        <v>256630</v>
      </c>
      <c r="C41" s="6" t="n">
        <v>67487673</v>
      </c>
      <c r="D41" s="7" t="n">
        <v>1400</v>
      </c>
      <c r="E41" s="6" t="n">
        <f aca="false">C41/D41</f>
        <v>48205.4807142857</v>
      </c>
      <c r="F41" s="8" t="n">
        <f aca="false">E41/B41</f>
        <v>0.187840395566714</v>
      </c>
      <c r="G41" s="6" t="n">
        <v>2522489</v>
      </c>
      <c r="H41" s="9" t="n">
        <f aca="false">E41/G41</f>
        <v>0.0191102838166136</v>
      </c>
      <c r="I41" s="10" t="n">
        <f aca="false">B41/G41</f>
        <v>0.101736816295334</v>
      </c>
      <c r="J41" s="7" t="n">
        <v>584</v>
      </c>
      <c r="K41" s="26" t="s">
        <v>21</v>
      </c>
      <c r="L41" s="6" t="n">
        <f aca="false">34740+28584+79704+8820+7344+19944</f>
        <v>179136</v>
      </c>
      <c r="M41" s="6" t="n">
        <v>43973571</v>
      </c>
      <c r="N41" s="7" t="n">
        <v>1400</v>
      </c>
      <c r="O41" s="6" t="n">
        <f aca="false">M41/N41</f>
        <v>31409.6935714286</v>
      </c>
      <c r="P41" s="27" t="n">
        <f aca="false">O41/L41</f>
        <v>0.17533992927959</v>
      </c>
      <c r="Q41" s="6" t="n">
        <v>373747</v>
      </c>
      <c r="R41" s="9" t="n">
        <f aca="false">O41/Q41</f>
        <v>0.0840399884719572</v>
      </c>
      <c r="S41" s="10" t="n">
        <f aca="false">L41/Q41</f>
        <v>0.479297492688905</v>
      </c>
      <c r="T41" s="7" t="s">
        <v>30</v>
      </c>
    </row>
    <row r="42" customFormat="false" ht="14.25" hidden="false" customHeight="false" outlineLevel="0" collapsed="false">
      <c r="A42" s="26" t="s">
        <v>22</v>
      </c>
      <c r="B42" s="6" t="n">
        <v>231633</v>
      </c>
      <c r="C42" s="6" t="n">
        <v>59450626</v>
      </c>
      <c r="D42" s="7" t="n">
        <v>1435</v>
      </c>
      <c r="E42" s="6" t="n">
        <f aca="false">C42/D42</f>
        <v>41429.0076655052</v>
      </c>
      <c r="F42" s="8" t="n">
        <f aca="false">E42/B42</f>
        <v>0.178856240973891</v>
      </c>
      <c r="G42" s="6" t="n">
        <v>2279040</v>
      </c>
      <c r="H42" s="9" t="n">
        <f aca="false">E42/G42</f>
        <v>0.0181782714061645</v>
      </c>
      <c r="I42" s="10" t="n">
        <f aca="false">B42/G42</f>
        <v>0.101636215248526</v>
      </c>
      <c r="J42" s="7" t="s">
        <v>31</v>
      </c>
      <c r="K42" s="26" t="s">
        <v>22</v>
      </c>
      <c r="L42" s="6" t="n">
        <v>173484</v>
      </c>
      <c r="M42" s="6" t="n">
        <v>40846829</v>
      </c>
      <c r="N42" s="7" t="n">
        <v>1435</v>
      </c>
      <c r="O42" s="6" t="n">
        <f aca="false">M42/N42</f>
        <v>28464.6891986063</v>
      </c>
      <c r="P42" s="27" t="n">
        <f aca="false">O42/L42</f>
        <v>0.164076740210084</v>
      </c>
      <c r="Q42" s="6" t="n">
        <v>436798</v>
      </c>
      <c r="R42" s="9" t="n">
        <f aca="false">O42/Q42</f>
        <v>0.0651667113828504</v>
      </c>
      <c r="S42" s="10" t="n">
        <f aca="false">L42/Q42</f>
        <v>0.397172148224122</v>
      </c>
      <c r="T42" s="7" t="s">
        <v>32</v>
      </c>
    </row>
    <row r="43" customFormat="false" ht="14.25" hidden="false" customHeight="false" outlineLevel="0" collapsed="false">
      <c r="A43" s="26" t="s">
        <v>23</v>
      </c>
      <c r="B43" s="6" t="n">
        <f aca="false">89355+44785+136145</f>
        <v>270285</v>
      </c>
      <c r="C43" s="6" t="n">
        <v>64709304.4</v>
      </c>
      <c r="D43" s="7" t="n">
        <v>1450</v>
      </c>
      <c r="E43" s="6" t="n">
        <f aca="false">C43/D43</f>
        <v>44627.1064827586</v>
      </c>
      <c r="F43" s="8" t="n">
        <f aca="false">E43/B43</f>
        <v>0.165111295420606</v>
      </c>
      <c r="G43" s="6" t="n">
        <v>1575989</v>
      </c>
      <c r="H43" s="9" t="n">
        <f aca="false">E43/G43</f>
        <v>0.0283168895739492</v>
      </c>
      <c r="I43" s="10" t="n">
        <f aca="false">B43/G43</f>
        <v>0.171501831548317</v>
      </c>
      <c r="J43" s="7" t="s">
        <v>33</v>
      </c>
      <c r="K43" s="26" t="s">
        <v>23</v>
      </c>
      <c r="L43" s="6" t="n">
        <f aca="false">33696+30528+79272+8496+7741+19655</f>
        <v>179388</v>
      </c>
      <c r="M43" s="6" t="n">
        <v>41042090</v>
      </c>
      <c r="N43" s="7" t="n">
        <v>1450</v>
      </c>
      <c r="O43" s="6" t="n">
        <f aca="false">M43/N43</f>
        <v>28304.8896551724</v>
      </c>
      <c r="P43" s="27" t="n">
        <f aca="false">O43/L43</f>
        <v>0.157785858893418</v>
      </c>
      <c r="Q43" s="6" t="n">
        <v>357081</v>
      </c>
      <c r="R43" s="9" t="n">
        <f aca="false">O43/Q43</f>
        <v>0.079267420151653</v>
      </c>
      <c r="S43" s="10" t="n">
        <f aca="false">L43/Q43</f>
        <v>0.502373411074798</v>
      </c>
      <c r="T43" s="7" t="n">
        <v>302</v>
      </c>
    </row>
    <row r="44" customFormat="false" ht="14.25" hidden="false" customHeight="false" outlineLevel="0" collapsed="false">
      <c r="A44" s="26" t="s">
        <v>24</v>
      </c>
      <c r="B44" s="6" t="n">
        <v>202899</v>
      </c>
      <c r="C44" s="6" t="n">
        <v>56550984</v>
      </c>
      <c r="D44" s="7" t="n">
        <v>1464</v>
      </c>
      <c r="E44" s="6" t="n">
        <f aca="false">C44/D44</f>
        <v>38627.7213114754</v>
      </c>
      <c r="F44" s="8" t="n">
        <f aca="false">E44/B44</f>
        <v>0.19037906205292</v>
      </c>
      <c r="G44" s="6" t="n">
        <v>1094280</v>
      </c>
      <c r="H44" s="9" t="n">
        <f aca="false">E44/G44</f>
        <v>0.0352996685596698</v>
      </c>
      <c r="I44" s="10" t="n">
        <f aca="false">B44/G44</f>
        <v>0.185417808970282</v>
      </c>
      <c r="J44" s="7" t="s">
        <v>34</v>
      </c>
      <c r="K44" s="26" t="s">
        <v>24</v>
      </c>
      <c r="L44" s="6" t="n">
        <v>125748</v>
      </c>
      <c r="M44" s="6" t="n">
        <v>36104730</v>
      </c>
      <c r="N44" s="7" t="n">
        <v>1464</v>
      </c>
      <c r="O44" s="6" t="n">
        <f aca="false">M44/N44</f>
        <v>24661.7008196721</v>
      </c>
      <c r="P44" s="27" t="n">
        <f aca="false">O44/L44</f>
        <v>0.196120024331776</v>
      </c>
      <c r="Q44" s="6" t="n">
        <v>321269</v>
      </c>
      <c r="R44" s="9" t="n">
        <f aca="false">O44/Q44</f>
        <v>0.0767634002025472</v>
      </c>
      <c r="S44" s="10" t="n">
        <f aca="false">L44/Q44</f>
        <v>0.391410313475623</v>
      </c>
      <c r="T44" s="7" t="n">
        <v>302</v>
      </c>
    </row>
    <row r="46" customFormat="false" ht="14.25" hidden="false" customHeight="false" outlineLevel="0" collapsed="false">
      <c r="A46" s="2" t="s">
        <v>0</v>
      </c>
      <c r="B46" s="1" t="n">
        <v>4156946</v>
      </c>
      <c r="C46" s="19" t="s">
        <v>35</v>
      </c>
      <c r="F46" s="19" t="s">
        <v>26</v>
      </c>
      <c r="K46" s="20" t="s">
        <v>0</v>
      </c>
      <c r="L46" s="21" t="n">
        <v>107552</v>
      </c>
      <c r="M46" s="19" t="s">
        <v>36</v>
      </c>
    </row>
    <row r="47" customFormat="false" ht="14.25" hidden="false" customHeight="false" outlineLevel="0" collapsed="false">
      <c r="A47" s="28"/>
      <c r="B47" s="29" t="s">
        <v>2</v>
      </c>
      <c r="C47" s="29" t="s">
        <v>3</v>
      </c>
      <c r="D47" s="29" t="s">
        <v>4</v>
      </c>
      <c r="E47" s="29" t="s">
        <v>5</v>
      </c>
      <c r="F47" s="29" t="s">
        <v>6</v>
      </c>
      <c r="G47" s="29" t="s">
        <v>7</v>
      </c>
      <c r="H47" s="29" t="s">
        <v>8</v>
      </c>
      <c r="I47" s="29" t="s">
        <v>9</v>
      </c>
      <c r="J47" s="30" t="s">
        <v>28</v>
      </c>
      <c r="K47" s="28"/>
      <c r="L47" s="29" t="s">
        <v>2</v>
      </c>
      <c r="M47" s="29" t="s">
        <v>3</v>
      </c>
      <c r="N47" s="29" t="s">
        <v>4</v>
      </c>
      <c r="O47" s="29" t="s">
        <v>5</v>
      </c>
      <c r="P47" s="29" t="s">
        <v>6</v>
      </c>
      <c r="Q47" s="29" t="s">
        <v>10</v>
      </c>
      <c r="R47" s="29" t="s">
        <v>11</v>
      </c>
      <c r="S47" s="29" t="s">
        <v>12</v>
      </c>
      <c r="T47" s="31" t="s">
        <v>29</v>
      </c>
    </row>
    <row r="48" customFormat="false" ht="14.25" hidden="false" customHeight="false" outlineLevel="0" collapsed="false">
      <c r="A48" s="16" t="s">
        <v>13</v>
      </c>
      <c r="B48" s="6" t="n">
        <v>158465</v>
      </c>
      <c r="C48" s="6" t="n">
        <v>51279291</v>
      </c>
      <c r="D48" s="7" t="n">
        <v>1470</v>
      </c>
      <c r="E48" s="6" t="n">
        <f aca="false">C48/D48</f>
        <v>34883.8714285714</v>
      </c>
      <c r="F48" s="8" t="n">
        <f aca="false">E48/B48</f>
        <v>0.220136127400823</v>
      </c>
      <c r="G48" s="6" t="n">
        <v>931160</v>
      </c>
      <c r="H48" s="9" t="n">
        <f aca="false">E48/G48</f>
        <v>0.0374628113627856</v>
      </c>
      <c r="I48" s="10" t="n">
        <f aca="false">B48/G48</f>
        <v>0.170180205335281</v>
      </c>
      <c r="J48" s="3" t="n">
        <v>630</v>
      </c>
      <c r="K48" s="16" t="s">
        <v>13</v>
      </c>
      <c r="L48" s="6" t="n">
        <v>98460</v>
      </c>
      <c r="M48" s="6" t="n">
        <v>35127584</v>
      </c>
      <c r="N48" s="7" t="n">
        <v>1470</v>
      </c>
      <c r="O48" s="6" t="n">
        <f aca="false">M48/N48</f>
        <v>23896.3156462585</v>
      </c>
      <c r="P48" s="27" t="n">
        <f aca="false">O48/L48</f>
        <v>0.2427007479815</v>
      </c>
      <c r="Q48" s="6" t="n">
        <v>262742</v>
      </c>
      <c r="R48" s="9" t="n">
        <f aca="false">O48/Q48</f>
        <v>0.0909497364192193</v>
      </c>
      <c r="S48" s="10" t="n">
        <f aca="false">L48/Q48</f>
        <v>0.374740239474465</v>
      </c>
      <c r="T48" s="3" t="n">
        <v>302</v>
      </c>
    </row>
    <row r="49" customFormat="false" ht="14.25" hidden="false" customHeight="false" outlineLevel="0" collapsed="false">
      <c r="A49" s="16" t="s">
        <v>14</v>
      </c>
      <c r="B49" s="6" t="n">
        <f aca="false">89785+42270+130490+3600+1832+9823</f>
        <v>277800</v>
      </c>
      <c r="C49" s="6" t="n">
        <v>67710401</v>
      </c>
      <c r="D49" s="7" t="n">
        <v>1425</v>
      </c>
      <c r="E49" s="6" t="n">
        <f aca="false">C49/D49</f>
        <v>47516.070877193</v>
      </c>
      <c r="F49" s="8" t="n">
        <f aca="false">E49/B49</f>
        <v>0.171044171624165</v>
      </c>
      <c r="G49" s="6" t="n">
        <v>947482</v>
      </c>
      <c r="H49" s="9" t="n">
        <f aca="false">E49/G49</f>
        <v>0.050149840183975</v>
      </c>
      <c r="I49" s="10" t="n">
        <f aca="false">B49/G49</f>
        <v>0.293198182129054</v>
      </c>
      <c r="J49" s="3" t="n">
        <v>704</v>
      </c>
      <c r="K49" s="16" t="s">
        <v>14</v>
      </c>
      <c r="L49" s="6" t="n">
        <v>160488</v>
      </c>
      <c r="M49" s="6" t="n">
        <v>41369654</v>
      </c>
      <c r="N49" s="7" t="n">
        <v>1425</v>
      </c>
      <c r="O49" s="6" t="n">
        <f aca="false">M49/N49</f>
        <v>29031.3361403509</v>
      </c>
      <c r="P49" s="27" t="n">
        <f aca="false">O49/L49</f>
        <v>0.180894123799604</v>
      </c>
      <c r="Q49" s="6" t="n">
        <v>383846</v>
      </c>
      <c r="R49" s="9" t="n">
        <f aca="false">O49/Q49</f>
        <v>0.0756327697575353</v>
      </c>
      <c r="S49" s="10" t="n">
        <f aca="false">L49/Q49</f>
        <v>0.418105177597266</v>
      </c>
      <c r="T49" s="3" t="n">
        <v>313</v>
      </c>
    </row>
    <row r="50" customFormat="false" ht="14.25" hidden="false" customHeight="false" outlineLevel="0" collapsed="false">
      <c r="A50" s="16" t="s">
        <v>15</v>
      </c>
      <c r="B50" s="6" t="n">
        <f aca="false">96570+44435+125475+3897+2344+11882</f>
        <v>284603</v>
      </c>
      <c r="C50" s="6" t="n">
        <v>69098637</v>
      </c>
      <c r="D50" s="7" t="n">
        <v>1415</v>
      </c>
      <c r="E50" s="6" t="n">
        <f aca="false">C50/D50</f>
        <v>48832.9590106007</v>
      </c>
      <c r="F50" s="8" t="n">
        <f aca="false">E50/B50</f>
        <v>0.171582727555931</v>
      </c>
      <c r="G50" s="6" t="n">
        <v>1232374</v>
      </c>
      <c r="H50" s="9" t="n">
        <f aca="false">E50/G50</f>
        <v>0.0396251130018977</v>
      </c>
      <c r="I50" s="10" t="n">
        <f aca="false">B50/G50</f>
        <v>0.230938822143278</v>
      </c>
      <c r="J50" s="3" t="n">
        <v>701</v>
      </c>
      <c r="K50" s="16" t="s">
        <v>15</v>
      </c>
      <c r="L50" s="6" t="n">
        <v>160344</v>
      </c>
      <c r="M50" s="6" t="n">
        <v>41812138</v>
      </c>
      <c r="N50" s="7" t="n">
        <v>1415</v>
      </c>
      <c r="O50" s="6" t="n">
        <f aca="false">M50/N50</f>
        <v>29549.2141342756</v>
      </c>
      <c r="P50" s="27" t="n">
        <f aca="false">O50/L50</f>
        <v>0.184286372638051</v>
      </c>
      <c r="Q50" s="6" t="n">
        <v>556665</v>
      </c>
      <c r="R50" s="9" t="n">
        <f aca="false">O50/Q50</f>
        <v>0.053082579530374</v>
      </c>
      <c r="S50" s="10" t="n">
        <f aca="false">L50/Q50</f>
        <v>0.288043976179569</v>
      </c>
      <c r="T50" s="3" t="n">
        <v>309</v>
      </c>
    </row>
    <row r="51" customFormat="false" ht="14.25" hidden="false" customHeight="false" outlineLevel="0" collapsed="false">
      <c r="A51" s="16" t="s">
        <v>16</v>
      </c>
      <c r="B51" s="6" t="n">
        <v>230730</v>
      </c>
      <c r="C51" s="6" t="n">
        <v>61083668.62</v>
      </c>
      <c r="D51" s="7" t="n">
        <v>1415</v>
      </c>
      <c r="E51" s="6" t="n">
        <f aca="false">C51/D51</f>
        <v>43168.6704028269</v>
      </c>
      <c r="F51" s="8" t="n">
        <f aca="false">E51/B51</f>
        <v>0.187096044739855</v>
      </c>
      <c r="G51" s="6" t="n">
        <v>884860</v>
      </c>
      <c r="H51" s="9" t="n">
        <f aca="false">E51/G51</f>
        <v>0.0487858761869978</v>
      </c>
      <c r="I51" s="10" t="n">
        <f aca="false">B51/G51</f>
        <v>0.260753113486879</v>
      </c>
      <c r="J51" s="3" t="n">
        <v>662</v>
      </c>
      <c r="K51" s="16" t="s">
        <v>16</v>
      </c>
      <c r="L51" s="6" t="n">
        <v>131652</v>
      </c>
      <c r="M51" s="6" t="n">
        <v>41486464.42</v>
      </c>
      <c r="N51" s="7" t="n">
        <v>1415</v>
      </c>
      <c r="O51" s="6" t="n">
        <f aca="false">M51/N51</f>
        <v>29319.0561272085</v>
      </c>
      <c r="P51" s="27" t="n">
        <f aca="false">O51/L51</f>
        <v>0.222701182870055</v>
      </c>
      <c r="Q51" s="6" t="n">
        <v>561959</v>
      </c>
      <c r="R51" s="9" t="n">
        <f aca="false">O51/Q51</f>
        <v>0.0521729452276918</v>
      </c>
      <c r="S51" s="10" t="n">
        <f aca="false">L51/Q51</f>
        <v>0.234273318872017</v>
      </c>
      <c r="T51" s="3" t="n">
        <v>302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2023-09-01T12:01:48Z</dcterms:created>
  <dc:creator>Usuario</dc:creator>
  <dc:description/>
  <dc:language>es-AR</dc:language>
  <cp:lastModifiedBy/>
  <cp:lastPrinted>2026-02-03T15:57:21Z</cp:lastPrinted>
  <dcterms:modified xsi:type="dcterms:W3CDTF">2026-06-07T17:36:21Z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