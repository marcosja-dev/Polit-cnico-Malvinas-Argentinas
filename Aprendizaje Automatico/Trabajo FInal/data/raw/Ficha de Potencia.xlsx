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2.10.15\Datos RGA\Luis Brunori\"/>
    </mc:Choice>
  </mc:AlternateContent>
  <xr:revisionPtr revIDLastSave="0" documentId="13_ncr:1_{3650B663-C2DF-4EB2-B983-679BBA52B0FC}" xr6:coauthVersionLast="47" xr6:coauthVersionMax="47" xr10:uidLastSave="{00000000-0000-0000-0000-000000000000}"/>
  <bookViews>
    <workbookView xWindow="-108" yWindow="-108" windowWidth="23256" windowHeight="12456" firstSheet="2" activeTab="10" xr2:uid="{00000000-000D-0000-FFFF-FFFF00000000}"/>
  </bookViews>
  <sheets>
    <sheet name="resumen" sheetId="5" r:id="rId1"/>
    <sheet name="Hoja1" sheetId="10" r:id="rId2"/>
    <sheet name="datos23" sheetId="1" r:id="rId3"/>
    <sheet name="graficos 23" sheetId="2" r:id="rId4"/>
    <sheet name="datos24" sheetId="4" r:id="rId5"/>
    <sheet name="graficos 24" sheetId="3" r:id="rId6"/>
    <sheet name="datos25" sheetId="6" r:id="rId7"/>
    <sheet name="graficos 25" sheetId="7" r:id="rId8"/>
    <sheet name="datos26" sheetId="8" r:id="rId9"/>
    <sheet name="graficos 26" sheetId="9" r:id="rId10"/>
    <sheet name="distribucion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1" l="1"/>
  <c r="H46" i="8" l="1"/>
  <c r="C40" i="9"/>
  <c r="C24" i="9"/>
  <c r="C8" i="9"/>
  <c r="J45" i="8"/>
  <c r="I45" i="8"/>
  <c r="G45" i="8"/>
  <c r="F45" i="8"/>
  <c r="J26" i="8"/>
  <c r="F26" i="8"/>
  <c r="I26" i="8" s="1"/>
  <c r="J8" i="8"/>
  <c r="F8" i="8"/>
  <c r="I8" i="8" s="1"/>
  <c r="P44" i="8"/>
  <c r="Q44" i="8" s="1"/>
  <c r="O44" i="8"/>
  <c r="P43" i="8"/>
  <c r="Q43" i="8" s="1"/>
  <c r="O43" i="8"/>
  <c r="N44" i="8"/>
  <c r="N43" i="8"/>
  <c r="M44" i="8"/>
  <c r="M43" i="8"/>
  <c r="C39" i="9"/>
  <c r="C23" i="9"/>
  <c r="C7" i="9"/>
  <c r="J44" i="8"/>
  <c r="I44" i="8"/>
  <c r="F44" i="8"/>
  <c r="G44" i="8" s="1"/>
  <c r="J25" i="8"/>
  <c r="F25" i="8"/>
  <c r="I25" i="8" s="1"/>
  <c r="J7" i="8"/>
  <c r="F7" i="8"/>
  <c r="I7" i="8" s="1"/>
  <c r="C6" i="8"/>
  <c r="C7" i="8"/>
  <c r="C38" i="9"/>
  <c r="C37" i="9"/>
  <c r="C21" i="9"/>
  <c r="C5" i="9"/>
  <c r="L43" i="8"/>
  <c r="G26" i="8" l="1"/>
  <c r="G8" i="8"/>
  <c r="G25" i="8"/>
  <c r="G7" i="8"/>
  <c r="E50" i="8" l="1"/>
  <c r="E46" i="8"/>
  <c r="H53" i="8"/>
  <c r="P53" i="8" s="1"/>
  <c r="E53" i="8"/>
  <c r="D53" i="8"/>
  <c r="C53" i="8"/>
  <c r="H52" i="8"/>
  <c r="P52" i="8" s="1"/>
  <c r="E52" i="8"/>
  <c r="D52" i="8"/>
  <c r="H51" i="8"/>
  <c r="P51" i="8" s="1"/>
  <c r="E51" i="8"/>
  <c r="D51" i="8"/>
  <c r="C51" i="8"/>
  <c r="M51" i="8" s="1"/>
  <c r="H50" i="8"/>
  <c r="P50" i="8" s="1"/>
  <c r="D50" i="8"/>
  <c r="H49" i="8"/>
  <c r="P49" i="8" s="1"/>
  <c r="E49" i="8"/>
  <c r="D49" i="8"/>
  <c r="N49" i="8" s="1"/>
  <c r="C49" i="8"/>
  <c r="H48" i="8"/>
  <c r="P48" i="8" s="1"/>
  <c r="E48" i="8"/>
  <c r="D48" i="8"/>
  <c r="C48" i="8"/>
  <c r="H47" i="8"/>
  <c r="P47" i="8" s="1"/>
  <c r="E47" i="8"/>
  <c r="D47" i="8"/>
  <c r="C47" i="8"/>
  <c r="P46" i="8"/>
  <c r="D46" i="8"/>
  <c r="C46" i="8"/>
  <c r="H45" i="8"/>
  <c r="P45" i="8" s="1"/>
  <c r="E45" i="8"/>
  <c r="D45" i="8"/>
  <c r="C45" i="8"/>
  <c r="M45" i="8" s="1"/>
  <c r="H44" i="8"/>
  <c r="E44" i="8"/>
  <c r="D44" i="8"/>
  <c r="C44" i="8"/>
  <c r="H43" i="8"/>
  <c r="D43" i="8"/>
  <c r="C43" i="8"/>
  <c r="C6" i="9" s="1"/>
  <c r="C17" i="9" s="1"/>
  <c r="H42" i="8"/>
  <c r="P42" i="8" s="1"/>
  <c r="E42" i="8"/>
  <c r="D42" i="8"/>
  <c r="F42" i="8" s="1"/>
  <c r="C42" i="8"/>
  <c r="M42" i="8" s="1"/>
  <c r="J24" i="8"/>
  <c r="F24" i="8"/>
  <c r="G24" i="8" s="1"/>
  <c r="J23" i="8"/>
  <c r="F23" i="8"/>
  <c r="H18" i="8"/>
  <c r="J6" i="8"/>
  <c r="F6" i="8"/>
  <c r="G6" i="8" s="1"/>
  <c r="J5" i="8"/>
  <c r="F5" i="8"/>
  <c r="I5" i="8" s="1"/>
  <c r="S16" i="7"/>
  <c r="S15" i="7"/>
  <c r="S14" i="7"/>
  <c r="S13" i="7"/>
  <c r="S12" i="7"/>
  <c r="K16" i="7"/>
  <c r="K15" i="7"/>
  <c r="K14" i="7"/>
  <c r="K13" i="7"/>
  <c r="K12" i="7"/>
  <c r="C16" i="7"/>
  <c r="C15" i="7"/>
  <c r="C14" i="7"/>
  <c r="C13" i="7"/>
  <c r="C12" i="7"/>
  <c r="S32" i="7"/>
  <c r="K32" i="7"/>
  <c r="C32" i="7"/>
  <c r="C48" i="7"/>
  <c r="K48" i="7"/>
  <c r="S48" i="7"/>
  <c r="J53" i="6"/>
  <c r="I53" i="6"/>
  <c r="F53" i="6"/>
  <c r="G53" i="6" s="1"/>
  <c r="M48" i="8" l="1"/>
  <c r="M49" i="8"/>
  <c r="M47" i="8"/>
  <c r="M46" i="8"/>
  <c r="F36" i="8"/>
  <c r="I24" i="8"/>
  <c r="F43" i="8"/>
  <c r="I43" i="8" s="1"/>
  <c r="N51" i="8"/>
  <c r="I42" i="8"/>
  <c r="N42" i="8"/>
  <c r="G42" i="8"/>
  <c r="N47" i="8"/>
  <c r="N50" i="8"/>
  <c r="N53" i="8"/>
  <c r="N46" i="8"/>
  <c r="N45" i="8"/>
  <c r="N52" i="8"/>
  <c r="J19" i="8"/>
  <c r="G15" i="5" s="1"/>
  <c r="M53" i="8"/>
  <c r="J42" i="8"/>
  <c r="C50" i="8"/>
  <c r="H55" i="8"/>
  <c r="C18" i="8"/>
  <c r="C36" i="8"/>
  <c r="I6" i="8"/>
  <c r="H36" i="8"/>
  <c r="J37" i="8" s="1"/>
  <c r="G21" i="5" s="1"/>
  <c r="J43" i="8"/>
  <c r="F18" i="8"/>
  <c r="I23" i="8"/>
  <c r="G5" i="8"/>
  <c r="G23" i="8"/>
  <c r="C52" i="8"/>
  <c r="N15" i="5" l="1"/>
  <c r="H15" i="5"/>
  <c r="N21" i="5"/>
  <c r="H21" i="5"/>
  <c r="F56" i="8"/>
  <c r="N54" i="8" s="1"/>
  <c r="F55" i="8"/>
  <c r="N48" i="8"/>
  <c r="G43" i="8"/>
  <c r="C22" i="9" s="1"/>
  <c r="I37" i="8"/>
  <c r="E21" i="5" s="1"/>
  <c r="I19" i="8"/>
  <c r="E15" i="5" s="1"/>
  <c r="G19" i="8"/>
  <c r="C15" i="5" s="1"/>
  <c r="M50" i="8"/>
  <c r="Q42" i="8"/>
  <c r="O42" i="8"/>
  <c r="M52" i="8"/>
  <c r="C55" i="8"/>
  <c r="G37" i="8"/>
  <c r="C21" i="5" s="1"/>
  <c r="I56" i="8"/>
  <c r="C49" i="9" s="1"/>
  <c r="Q45" i="8"/>
  <c r="O45" i="8"/>
  <c r="J34" i="6"/>
  <c r="I34" i="6"/>
  <c r="J16" i="6"/>
  <c r="I16" i="6"/>
  <c r="G34" i="6"/>
  <c r="G16" i="6"/>
  <c r="F34" i="6"/>
  <c r="F16" i="6"/>
  <c r="S47" i="7"/>
  <c r="S46" i="7"/>
  <c r="K47" i="7"/>
  <c r="K46" i="7"/>
  <c r="C47" i="7"/>
  <c r="C46" i="7"/>
  <c r="S31" i="7"/>
  <c r="S30" i="7"/>
  <c r="K31" i="7"/>
  <c r="K30" i="7"/>
  <c r="C31" i="7"/>
  <c r="C30" i="7"/>
  <c r="J52" i="6"/>
  <c r="I52" i="6"/>
  <c r="F52" i="6"/>
  <c r="G52" i="6" s="1"/>
  <c r="J33" i="6"/>
  <c r="I33" i="6"/>
  <c r="G33" i="6"/>
  <c r="F33" i="6"/>
  <c r="C33" i="6"/>
  <c r="M21" i="5" l="1"/>
  <c r="F21" i="5"/>
  <c r="F15" i="5"/>
  <c r="M15" i="5"/>
  <c r="D15" i="5"/>
  <c r="L15" i="5"/>
  <c r="L21" i="5"/>
  <c r="D21" i="5"/>
  <c r="Q54" i="8"/>
  <c r="E9" i="5"/>
  <c r="M9" i="5" s="1"/>
  <c r="G56" i="8"/>
  <c r="J56" i="8"/>
  <c r="G9" i="5" s="1"/>
  <c r="N9" i="5" s="1"/>
  <c r="J15" i="6"/>
  <c r="F15" i="6"/>
  <c r="G15" i="6" s="1"/>
  <c r="C15" i="6"/>
  <c r="J51" i="6"/>
  <c r="I51" i="6"/>
  <c r="G51" i="6"/>
  <c r="F51" i="6"/>
  <c r="O54" i="8" l="1"/>
  <c r="C33" i="9"/>
  <c r="C9" i="5"/>
  <c r="L9" i="5" s="1"/>
  <c r="I15" i="6"/>
  <c r="J32" i="6" l="1"/>
  <c r="I32" i="6"/>
  <c r="G32" i="6"/>
  <c r="F32" i="6"/>
  <c r="J14" i="6"/>
  <c r="F14" i="6"/>
  <c r="I14" i="6" s="1"/>
  <c r="S29" i="7"/>
  <c r="S28" i="7"/>
  <c r="S45" i="7"/>
  <c r="S44" i="7"/>
  <c r="C45" i="7"/>
  <c r="C44" i="7"/>
  <c r="K44" i="7"/>
  <c r="K28" i="7"/>
  <c r="C29" i="7"/>
  <c r="C28" i="7"/>
  <c r="J50" i="6"/>
  <c r="F50" i="6"/>
  <c r="G50" i="6" s="1"/>
  <c r="J13" i="6"/>
  <c r="I13" i="6"/>
  <c r="G13" i="6"/>
  <c r="F13" i="6"/>
  <c r="J31" i="6"/>
  <c r="F31" i="6"/>
  <c r="I31" i="6" s="1"/>
  <c r="K45" i="7" s="1"/>
  <c r="C31" i="6"/>
  <c r="C13" i="6"/>
  <c r="J49" i="6"/>
  <c r="I49" i="6"/>
  <c r="F49" i="6"/>
  <c r="G49" i="6" s="1"/>
  <c r="I12" i="6"/>
  <c r="J12" i="6"/>
  <c r="I30" i="6"/>
  <c r="J30" i="6"/>
  <c r="F30" i="6"/>
  <c r="G30" i="6" s="1"/>
  <c r="F12" i="6"/>
  <c r="G12" i="6"/>
  <c r="G14" i="6" l="1"/>
  <c r="G31" i="6"/>
  <c r="K29" i="7" s="1"/>
  <c r="I50" i="6"/>
  <c r="S11" i="7"/>
  <c r="S27" i="7"/>
  <c r="S43" i="7"/>
  <c r="K43" i="7"/>
  <c r="C43" i="7"/>
  <c r="K27" i="7"/>
  <c r="C27" i="7"/>
  <c r="K11" i="7"/>
  <c r="C11" i="7"/>
  <c r="J48" i="6"/>
  <c r="I48" i="6"/>
  <c r="F48" i="6"/>
  <c r="G48" i="6" s="1"/>
  <c r="J29" i="6"/>
  <c r="F29" i="6"/>
  <c r="I29" i="6" s="1"/>
  <c r="J11" i="6"/>
  <c r="F11" i="6"/>
  <c r="I11" i="6" s="1"/>
  <c r="H47" i="6"/>
  <c r="G29" i="6" l="1"/>
  <c r="G11" i="6"/>
  <c r="C10" i="7"/>
  <c r="K10" i="7"/>
  <c r="S10" i="7"/>
  <c r="S26" i="7"/>
  <c r="K26" i="7"/>
  <c r="C26" i="7"/>
  <c r="C42" i="7"/>
  <c r="K42" i="7"/>
  <c r="J47" i="6"/>
  <c r="I47" i="6"/>
  <c r="S42" i="7" s="1"/>
  <c r="F47" i="6"/>
  <c r="G47" i="6" s="1"/>
  <c r="F10" i="6"/>
  <c r="F28" i="6"/>
  <c r="G28" i="6" s="1"/>
  <c r="J28" i="6"/>
  <c r="I28" i="6"/>
  <c r="J10" i="6"/>
  <c r="I10" i="6"/>
  <c r="G10" i="6"/>
  <c r="C9" i="7" l="1"/>
  <c r="K9" i="7"/>
  <c r="F27" i="6"/>
  <c r="G27" i="6" s="1"/>
  <c r="K25" i="7" s="1"/>
  <c r="J27" i="6"/>
  <c r="J9" i="6"/>
  <c r="F9" i="6"/>
  <c r="I9" i="6" s="1"/>
  <c r="C41" i="7" s="1"/>
  <c r="K8" i="7"/>
  <c r="C8" i="7"/>
  <c r="J26" i="6"/>
  <c r="F26" i="6"/>
  <c r="G26" i="6" s="1"/>
  <c r="K24" i="7" s="1"/>
  <c r="J8" i="6"/>
  <c r="F8" i="6"/>
  <c r="G8" i="6" s="1"/>
  <c r="C24" i="7" s="1"/>
  <c r="K7" i="7"/>
  <c r="C7" i="7"/>
  <c r="I26" i="6" l="1"/>
  <c r="K40" i="7" s="1"/>
  <c r="I27" i="6"/>
  <c r="K41" i="7" s="1"/>
  <c r="G9" i="6"/>
  <c r="C25" i="7" s="1"/>
  <c r="I8" i="6"/>
  <c r="C40" i="7" s="1"/>
  <c r="F25" i="6" l="1"/>
  <c r="G25" i="6" s="1"/>
  <c r="K23" i="7" s="1"/>
  <c r="J7" i="6"/>
  <c r="F7" i="6"/>
  <c r="G7" i="6" s="1"/>
  <c r="C23" i="7" s="1"/>
  <c r="I7" i="6" l="1"/>
  <c r="C39" i="7" s="1"/>
  <c r="H25" i="6"/>
  <c r="J25" i="6" s="1"/>
  <c r="C6" i="7"/>
  <c r="K6" i="7"/>
  <c r="I25" i="6" l="1"/>
  <c r="K39" i="7" s="1"/>
  <c r="J6" i="6"/>
  <c r="F6" i="6"/>
  <c r="I6" i="6" s="1"/>
  <c r="C38" i="7" s="1"/>
  <c r="J24" i="6"/>
  <c r="F24" i="6"/>
  <c r="G24" i="6" s="1"/>
  <c r="K22" i="7" s="1"/>
  <c r="G6" i="6" l="1"/>
  <c r="C22" i="7" s="1"/>
  <c r="I24" i="6"/>
  <c r="K38" i="7" s="1"/>
  <c r="D42" i="6"/>
  <c r="K5" i="7" l="1"/>
  <c r="K17" i="7" s="1"/>
  <c r="C5" i="7"/>
  <c r="C17" i="7" s="1"/>
  <c r="H23" i="6"/>
  <c r="H42" i="6" l="1"/>
  <c r="E42" i="6"/>
  <c r="H53" i="6"/>
  <c r="E53" i="6"/>
  <c r="D53" i="6"/>
  <c r="C53" i="6"/>
  <c r="H52" i="6"/>
  <c r="E52" i="6"/>
  <c r="D52" i="6"/>
  <c r="C52" i="6"/>
  <c r="H51" i="6"/>
  <c r="E51" i="6"/>
  <c r="D51" i="6"/>
  <c r="C51" i="6"/>
  <c r="H50" i="6"/>
  <c r="D50" i="6"/>
  <c r="C50" i="6"/>
  <c r="H49" i="6"/>
  <c r="E49" i="6"/>
  <c r="D49" i="6"/>
  <c r="C49" i="6"/>
  <c r="H48" i="6"/>
  <c r="E48" i="6"/>
  <c r="D48" i="6"/>
  <c r="C48" i="6"/>
  <c r="E47" i="6"/>
  <c r="D47" i="6"/>
  <c r="C47" i="6"/>
  <c r="H46" i="6"/>
  <c r="D46" i="6"/>
  <c r="F46" i="6" s="1"/>
  <c r="C46" i="6"/>
  <c r="H45" i="6"/>
  <c r="E45" i="6"/>
  <c r="D45" i="6"/>
  <c r="F45" i="6" s="1"/>
  <c r="C45" i="6"/>
  <c r="H44" i="6"/>
  <c r="E44" i="6"/>
  <c r="D44" i="6"/>
  <c r="F44" i="6" s="1"/>
  <c r="C44" i="6"/>
  <c r="H43" i="6"/>
  <c r="E43" i="6"/>
  <c r="D43" i="6"/>
  <c r="C43" i="6"/>
  <c r="C42" i="6"/>
  <c r="H36" i="6"/>
  <c r="C36" i="6"/>
  <c r="J23" i="6"/>
  <c r="F23" i="6"/>
  <c r="I23" i="6" s="1"/>
  <c r="K37" i="7" s="1"/>
  <c r="H18" i="6"/>
  <c r="C18" i="6"/>
  <c r="F5" i="6"/>
  <c r="J5" i="6"/>
  <c r="G46" i="6" l="1"/>
  <c r="S25" i="7" s="1"/>
  <c r="I46" i="6"/>
  <c r="S41" i="7" s="1"/>
  <c r="G44" i="6"/>
  <c r="S23" i="7" s="1"/>
  <c r="I44" i="6"/>
  <c r="S39" i="7" s="1"/>
  <c r="S8" i="7"/>
  <c r="J45" i="6"/>
  <c r="S5" i="7"/>
  <c r="G45" i="6"/>
  <c r="S24" i="7" s="1"/>
  <c r="I45" i="6"/>
  <c r="S40" i="7" s="1"/>
  <c r="S7" i="7"/>
  <c r="J44" i="6"/>
  <c r="J46" i="6"/>
  <c r="S9" i="7"/>
  <c r="F43" i="6"/>
  <c r="S6" i="7"/>
  <c r="J43" i="6"/>
  <c r="G43" i="6"/>
  <c r="I43" i="6"/>
  <c r="S38" i="7" s="1"/>
  <c r="F42" i="6"/>
  <c r="G23" i="6"/>
  <c r="K21" i="7" s="1"/>
  <c r="H55" i="6"/>
  <c r="J37" i="6"/>
  <c r="G20" i="5" s="1"/>
  <c r="J42" i="6"/>
  <c r="F18" i="6"/>
  <c r="G5" i="6"/>
  <c r="C21" i="7" s="1"/>
  <c r="J19" i="6"/>
  <c r="G14" i="5" s="1"/>
  <c r="I37" i="6"/>
  <c r="E20" i="5" s="1"/>
  <c r="F36" i="6"/>
  <c r="C55" i="6"/>
  <c r="I5" i="6"/>
  <c r="C37" i="7" s="1"/>
  <c r="I42" i="6" l="1"/>
  <c r="S37" i="7" s="1"/>
  <c r="S17" i="7"/>
  <c r="F55" i="6"/>
  <c r="G42" i="6"/>
  <c r="S21" i="7" s="1"/>
  <c r="F56" i="6"/>
  <c r="G37" i="6"/>
  <c r="C20" i="5" s="1"/>
  <c r="S22" i="7"/>
  <c r="N20" i="5"/>
  <c r="M20" i="5"/>
  <c r="N14" i="5"/>
  <c r="J56" i="6"/>
  <c r="G8" i="5" s="1"/>
  <c r="H9" i="5" s="1"/>
  <c r="G19" i="6"/>
  <c r="I56" i="6"/>
  <c r="I19" i="6"/>
  <c r="K33" i="7" l="1"/>
  <c r="G56" i="6"/>
  <c r="C33" i="7"/>
  <c r="C14" i="5"/>
  <c r="L20" i="5"/>
  <c r="N8" i="5"/>
  <c r="C49" i="7"/>
  <c r="E14" i="5"/>
  <c r="S49" i="7"/>
  <c r="E8" i="5"/>
  <c r="F9" i="5" s="1"/>
  <c r="J34" i="4"/>
  <c r="J33" i="4"/>
  <c r="H53" i="4"/>
  <c r="E53" i="4"/>
  <c r="D53" i="4"/>
  <c r="C53" i="4"/>
  <c r="H52" i="4"/>
  <c r="E52" i="4"/>
  <c r="D52" i="4"/>
  <c r="C52" i="4"/>
  <c r="C15" i="3" s="1"/>
  <c r="I16" i="4"/>
  <c r="J16" i="4"/>
  <c r="J15" i="4"/>
  <c r="F16" i="4"/>
  <c r="G16" i="4" s="1"/>
  <c r="F15" i="4"/>
  <c r="I15" i="4" s="1"/>
  <c r="G15" i="4"/>
  <c r="F34" i="4"/>
  <c r="G34" i="4" s="1"/>
  <c r="F33" i="4"/>
  <c r="I33" i="4" s="1"/>
  <c r="C36" i="4"/>
  <c r="C16" i="3"/>
  <c r="H51" i="4"/>
  <c r="E51" i="4"/>
  <c r="D51" i="4"/>
  <c r="F51" i="4" s="1"/>
  <c r="C51" i="4"/>
  <c r="J51" i="4" s="1"/>
  <c r="H50" i="4"/>
  <c r="E50" i="4"/>
  <c r="D50" i="4"/>
  <c r="C50" i="4"/>
  <c r="H49" i="4"/>
  <c r="E49" i="4"/>
  <c r="D49" i="4"/>
  <c r="C49" i="4"/>
  <c r="C12" i="3" s="1"/>
  <c r="H48" i="4"/>
  <c r="E48" i="4"/>
  <c r="D48" i="4"/>
  <c r="C48" i="4"/>
  <c r="H47" i="4"/>
  <c r="E47" i="4"/>
  <c r="D47" i="4"/>
  <c r="C47" i="4"/>
  <c r="H46" i="4"/>
  <c r="E46" i="4"/>
  <c r="D46" i="4"/>
  <c r="C46" i="4"/>
  <c r="H45" i="4"/>
  <c r="E45" i="4"/>
  <c r="D45" i="4"/>
  <c r="F45" i="4" s="1"/>
  <c r="C45" i="4"/>
  <c r="J45" i="4" s="1"/>
  <c r="G32" i="4"/>
  <c r="G29" i="4"/>
  <c r="J32" i="4"/>
  <c r="J31" i="4"/>
  <c r="J30" i="4"/>
  <c r="J29" i="4"/>
  <c r="J28" i="4"/>
  <c r="J27" i="4"/>
  <c r="J26" i="4"/>
  <c r="F32" i="4"/>
  <c r="I32" i="4" s="1"/>
  <c r="F31" i="4"/>
  <c r="I31" i="4" s="1"/>
  <c r="F30" i="4"/>
  <c r="I30" i="4" s="1"/>
  <c r="F29" i="4"/>
  <c r="I29" i="4" s="1"/>
  <c r="F28" i="4"/>
  <c r="G28" i="4" s="1"/>
  <c r="F27" i="4"/>
  <c r="I27" i="4" s="1"/>
  <c r="F26" i="4"/>
  <c r="I26" i="4" s="1"/>
  <c r="J14" i="4"/>
  <c r="J13" i="4"/>
  <c r="J12" i="4"/>
  <c r="J11" i="4"/>
  <c r="J10" i="4"/>
  <c r="J9" i="4"/>
  <c r="J8" i="4"/>
  <c r="I14" i="4"/>
  <c r="G12" i="4"/>
  <c r="G9" i="4"/>
  <c r="F14" i="4"/>
  <c r="G14" i="4" s="1"/>
  <c r="F13" i="4"/>
  <c r="I13" i="4" s="1"/>
  <c r="F12" i="4"/>
  <c r="I12" i="4" s="1"/>
  <c r="F11" i="4"/>
  <c r="G11" i="4" s="1"/>
  <c r="F10" i="4"/>
  <c r="G10" i="4" s="1"/>
  <c r="F9" i="4"/>
  <c r="I9" i="4" s="1"/>
  <c r="F8" i="4"/>
  <c r="G8" i="4" s="1"/>
  <c r="C8" i="5" l="1"/>
  <c r="D9" i="5" s="1"/>
  <c r="S33" i="7"/>
  <c r="K49" i="7"/>
  <c r="G13" i="4"/>
  <c r="F47" i="4"/>
  <c r="I47" i="4" s="1"/>
  <c r="C42" i="3" s="1"/>
  <c r="I10" i="4"/>
  <c r="I28" i="4"/>
  <c r="J48" i="4"/>
  <c r="J50" i="4"/>
  <c r="C13" i="3"/>
  <c r="I8" i="4"/>
  <c r="G27" i="4"/>
  <c r="J47" i="4"/>
  <c r="F48" i="4"/>
  <c r="C14" i="3"/>
  <c r="I34" i="4"/>
  <c r="F50" i="4"/>
  <c r="F52" i="4"/>
  <c r="I52" i="4" s="1"/>
  <c r="C47" i="3" s="1"/>
  <c r="C8" i="3"/>
  <c r="I11" i="4"/>
  <c r="G30" i="4"/>
  <c r="J46" i="4"/>
  <c r="J49" i="4"/>
  <c r="C9" i="3"/>
  <c r="G26" i="4"/>
  <c r="G31" i="4"/>
  <c r="F46" i="4"/>
  <c r="G46" i="4" s="1"/>
  <c r="C25" i="3" s="1"/>
  <c r="F49" i="4"/>
  <c r="I49" i="4" s="1"/>
  <c r="C44" i="3" s="1"/>
  <c r="C10" i="3"/>
  <c r="J53" i="4"/>
  <c r="C11" i="3"/>
  <c r="F53" i="4"/>
  <c r="G53" i="4" s="1"/>
  <c r="C32" i="3" s="1"/>
  <c r="L14" i="5"/>
  <c r="M14" i="5"/>
  <c r="M8" i="5"/>
  <c r="L8" i="5"/>
  <c r="J52" i="4"/>
  <c r="G33" i="4"/>
  <c r="G49" i="4"/>
  <c r="C28" i="3" s="1"/>
  <c r="I51" i="4"/>
  <c r="C46" i="3" s="1"/>
  <c r="G51" i="4"/>
  <c r="C30" i="3" s="1"/>
  <c r="I46" i="4"/>
  <c r="C41" i="3" s="1"/>
  <c r="G45" i="4"/>
  <c r="C24" i="3" s="1"/>
  <c r="I45" i="4"/>
  <c r="C40" i="3" s="1"/>
  <c r="I48" i="4"/>
  <c r="C43" i="3" s="1"/>
  <c r="G48" i="4"/>
  <c r="C27" i="3" s="1"/>
  <c r="I50" i="4"/>
  <c r="C45" i="3" s="1"/>
  <c r="G50" i="4"/>
  <c r="C29" i="3" s="1"/>
  <c r="G47" i="4"/>
  <c r="C26" i="3" s="1"/>
  <c r="F25" i="4"/>
  <c r="G25" i="4" s="1"/>
  <c r="F7" i="4"/>
  <c r="I7" i="4" s="1"/>
  <c r="I53" i="4" l="1"/>
  <c r="C48" i="3" s="1"/>
  <c r="G7" i="4"/>
  <c r="G52" i="4"/>
  <c r="C31" i="3" s="1"/>
  <c r="J7" i="4"/>
  <c r="E44" i="4" l="1"/>
  <c r="D44" i="4"/>
  <c r="C44" i="4"/>
  <c r="H44" i="4"/>
  <c r="J44" i="4" l="1"/>
  <c r="C7" i="3"/>
  <c r="F44" i="4"/>
  <c r="G44" i="4" s="1"/>
  <c r="C23" i="3" s="1"/>
  <c r="H43" i="4"/>
  <c r="E43" i="4"/>
  <c r="D43" i="4"/>
  <c r="C6" i="4"/>
  <c r="C43" i="4" s="1"/>
  <c r="C6" i="3" s="1"/>
  <c r="I44" i="4" l="1"/>
  <c r="C39" i="3" s="1"/>
  <c r="H42" i="4"/>
  <c r="D42" i="4" l="1"/>
  <c r="C5" i="4"/>
  <c r="C18" i="4" s="1"/>
  <c r="C42" i="4" l="1"/>
  <c r="C5" i="3" s="1"/>
  <c r="J24" i="4"/>
  <c r="F24" i="4"/>
  <c r="I24" i="4" s="1"/>
  <c r="J23" i="4"/>
  <c r="F23" i="4"/>
  <c r="J43" i="4"/>
  <c r="F43" i="4"/>
  <c r="G43" i="4" s="1"/>
  <c r="C22" i="3" s="1"/>
  <c r="F42" i="4"/>
  <c r="H36" i="4"/>
  <c r="H18" i="4"/>
  <c r="J6" i="4"/>
  <c r="F6" i="4"/>
  <c r="G6" i="4" s="1"/>
  <c r="J5" i="4"/>
  <c r="F5" i="4"/>
  <c r="G42" i="4" l="1"/>
  <c r="C21" i="3" s="1"/>
  <c r="F56" i="4"/>
  <c r="J42" i="4"/>
  <c r="I23" i="4"/>
  <c r="I37" i="4" s="1"/>
  <c r="E19" i="5" s="1"/>
  <c r="F36" i="4"/>
  <c r="G5" i="4"/>
  <c r="F18" i="4"/>
  <c r="J19" i="4"/>
  <c r="G13" i="5" s="1"/>
  <c r="J37" i="4"/>
  <c r="G19" i="5" s="1"/>
  <c r="C17" i="3"/>
  <c r="I5" i="4"/>
  <c r="I43" i="4"/>
  <c r="C38" i="3" s="1"/>
  <c r="I42" i="4"/>
  <c r="C37" i="3" s="1"/>
  <c r="G23" i="4"/>
  <c r="G24" i="4"/>
  <c r="H55" i="4"/>
  <c r="I6" i="4"/>
  <c r="F55" i="4"/>
  <c r="C16" i="2"/>
  <c r="G19" i="4" l="1"/>
  <c r="C13" i="5" s="1"/>
  <c r="L13" i="5" s="1"/>
  <c r="M19" i="5"/>
  <c r="F20" i="5"/>
  <c r="D14" i="5"/>
  <c r="N13" i="5"/>
  <c r="H14" i="5"/>
  <c r="G37" i="4"/>
  <c r="C19" i="5" s="1"/>
  <c r="N19" i="5"/>
  <c r="H20" i="5"/>
  <c r="I19" i="4"/>
  <c r="E13" i="5" s="1"/>
  <c r="I56" i="4"/>
  <c r="E7" i="5" s="1"/>
  <c r="J56" i="4"/>
  <c r="G7" i="5" s="1"/>
  <c r="C33" i="3"/>
  <c r="G56" i="4"/>
  <c r="C7" i="5" s="1"/>
  <c r="C55" i="4"/>
  <c r="D53" i="1"/>
  <c r="H36" i="1"/>
  <c r="J16" i="1"/>
  <c r="J53" i="1"/>
  <c r="M16" i="2" s="1"/>
  <c r="M13" i="5" l="1"/>
  <c r="F14" i="5"/>
  <c r="M7" i="5"/>
  <c r="F8" i="5"/>
  <c r="L7" i="5"/>
  <c r="D8" i="5"/>
  <c r="H8" i="5"/>
  <c r="C49" i="3"/>
  <c r="L19" i="5"/>
  <c r="D20" i="5"/>
  <c r="H18" i="1"/>
  <c r="H52" i="1" l="1"/>
  <c r="D52" i="1"/>
  <c r="C15" i="1" l="1"/>
  <c r="C52" i="1" s="1"/>
  <c r="J52" i="1" s="1"/>
  <c r="M15" i="2" s="1"/>
  <c r="C15" i="2" l="1"/>
  <c r="J15" i="1"/>
  <c r="C12" i="2" l="1"/>
  <c r="C13" i="2"/>
  <c r="H51" i="1"/>
  <c r="H55" i="1" s="1"/>
  <c r="C36" i="1"/>
  <c r="J31" i="1" l="1"/>
  <c r="J32" i="1"/>
  <c r="J37" i="1" l="1"/>
  <c r="G18" i="5" s="1"/>
  <c r="D51" i="1"/>
  <c r="C14" i="1"/>
  <c r="C18" i="1" l="1"/>
  <c r="C14" i="2"/>
  <c r="C51" i="1"/>
  <c r="J51" i="1" s="1"/>
  <c r="M14" i="2" s="1"/>
  <c r="J14" i="1"/>
  <c r="N18" i="5"/>
  <c r="H19" i="5"/>
  <c r="D50" i="1" l="1"/>
  <c r="F50" i="1" s="1"/>
  <c r="D49" i="1"/>
  <c r="F49" i="1" s="1"/>
  <c r="I49" i="1" s="1"/>
  <c r="M44" i="2" s="1"/>
  <c r="C50" i="1"/>
  <c r="J50" i="1" s="1"/>
  <c r="M13" i="2" s="1"/>
  <c r="C49" i="1"/>
  <c r="C55" i="1" s="1"/>
  <c r="F53" i="1"/>
  <c r="G53" i="1" s="1"/>
  <c r="M32" i="2" s="1"/>
  <c r="F52" i="1"/>
  <c r="I52" i="1" s="1"/>
  <c r="M47" i="2" s="1"/>
  <c r="F51" i="1"/>
  <c r="I51" i="1" s="1"/>
  <c r="M46" i="2" s="1"/>
  <c r="J48" i="1"/>
  <c r="M11" i="2" s="1"/>
  <c r="F48" i="1"/>
  <c r="I48" i="1" s="1"/>
  <c r="M43" i="2" s="1"/>
  <c r="J47" i="1"/>
  <c r="M10" i="2" s="1"/>
  <c r="F47" i="1"/>
  <c r="I47" i="1" s="1"/>
  <c r="M42" i="2" s="1"/>
  <c r="J46" i="1"/>
  <c r="M9" i="2" s="1"/>
  <c r="F46" i="1"/>
  <c r="I46" i="1" s="1"/>
  <c r="M41" i="2" s="1"/>
  <c r="J45" i="1"/>
  <c r="M8" i="2" s="1"/>
  <c r="F45" i="1"/>
  <c r="I45" i="1" s="1"/>
  <c r="M40" i="2" s="1"/>
  <c r="J44" i="1"/>
  <c r="M7" i="2" s="1"/>
  <c r="F44" i="1"/>
  <c r="I44" i="1" s="1"/>
  <c r="M39" i="2" s="1"/>
  <c r="J43" i="1"/>
  <c r="M6" i="2" s="1"/>
  <c r="F43" i="1"/>
  <c r="I43" i="1" s="1"/>
  <c r="M38" i="2" s="1"/>
  <c r="J42" i="1"/>
  <c r="F42" i="1"/>
  <c r="F56" i="1" s="1"/>
  <c r="I50" i="1" l="1"/>
  <c r="M45" i="2" s="1"/>
  <c r="G50" i="1"/>
  <c r="M29" i="2" s="1"/>
  <c r="G49" i="1"/>
  <c r="M28" i="2" s="1"/>
  <c r="F55" i="1"/>
  <c r="J49" i="1"/>
  <c r="M12" i="2" s="1"/>
  <c r="J56" i="1"/>
  <c r="G6" i="5" s="1"/>
  <c r="M5" i="2"/>
  <c r="M17" i="2" s="1"/>
  <c r="I53" i="1"/>
  <c r="M48" i="2" s="1"/>
  <c r="G52" i="1"/>
  <c r="M31" i="2" s="1"/>
  <c r="G42" i="1"/>
  <c r="G43" i="1"/>
  <c r="M22" i="2" s="1"/>
  <c r="G44" i="1"/>
  <c r="M23" i="2" s="1"/>
  <c r="G45" i="1"/>
  <c r="M24" i="2" s="1"/>
  <c r="G46" i="1"/>
  <c r="M25" i="2" s="1"/>
  <c r="G47" i="1"/>
  <c r="M26" i="2" s="1"/>
  <c r="G48" i="1"/>
  <c r="M27" i="2" s="1"/>
  <c r="G51" i="1"/>
  <c r="I42" i="1"/>
  <c r="N6" i="5" l="1"/>
  <c r="H7" i="5"/>
  <c r="I56" i="1"/>
  <c r="E6" i="5" s="1"/>
  <c r="M37" i="2"/>
  <c r="G56" i="1"/>
  <c r="C6" i="5" s="1"/>
  <c r="M21" i="2"/>
  <c r="M30" i="2"/>
  <c r="F34" i="1"/>
  <c r="G34" i="1" s="1"/>
  <c r="F33" i="1"/>
  <c r="I33" i="1" s="1"/>
  <c r="F32" i="1"/>
  <c r="F31" i="1"/>
  <c r="F30" i="1"/>
  <c r="F36" i="1" l="1"/>
  <c r="G30" i="1"/>
  <c r="G31" i="1" s="1"/>
  <c r="L6" i="5"/>
  <c r="D7" i="5"/>
  <c r="G32" i="1"/>
  <c r="G37" i="1" s="1"/>
  <c r="C18" i="5" s="1"/>
  <c r="I32" i="1"/>
  <c r="M33" i="2"/>
  <c r="M6" i="5"/>
  <c r="F7" i="5"/>
  <c r="M50" i="2"/>
  <c r="I31" i="1"/>
  <c r="G33" i="1"/>
  <c r="L18" i="5" l="1"/>
  <c r="D19" i="5"/>
  <c r="I37" i="1"/>
  <c r="E18" i="5" s="1"/>
  <c r="J13" i="1"/>
  <c r="M18" i="5" l="1"/>
  <c r="F19" i="5"/>
  <c r="C11" i="2"/>
  <c r="C10" i="2"/>
  <c r="C9" i="2"/>
  <c r="C8" i="2"/>
  <c r="C7" i="2"/>
  <c r="C6" i="2"/>
  <c r="C5" i="2"/>
  <c r="C17" i="2" l="1"/>
  <c r="J12" i="1"/>
  <c r="J11" i="1"/>
  <c r="J10" i="1"/>
  <c r="J9" i="1"/>
  <c r="J8" i="1"/>
  <c r="J7" i="1"/>
  <c r="J6" i="1"/>
  <c r="J5" i="1"/>
  <c r="J19" i="1" l="1"/>
  <c r="G12" i="5" s="1"/>
  <c r="F16" i="1"/>
  <c r="I16" i="1" s="1"/>
  <c r="C48" i="2" s="1"/>
  <c r="F15" i="1"/>
  <c r="G15" i="1" s="1"/>
  <c r="C31" i="2" s="1"/>
  <c r="F14" i="1"/>
  <c r="I14" i="1" s="1"/>
  <c r="C46" i="2" s="1"/>
  <c r="F13" i="1"/>
  <c r="F12" i="1"/>
  <c r="N12" i="5" l="1"/>
  <c r="H13" i="5"/>
  <c r="I15" i="1"/>
  <c r="C47" i="2" s="1"/>
  <c r="G14" i="1"/>
  <c r="C30" i="2" s="1"/>
  <c r="I13" i="1"/>
  <c r="G12" i="1"/>
  <c r="C28" i="2" s="1"/>
  <c r="G13" i="1"/>
  <c r="G16" i="1"/>
  <c r="C32" i="2" s="1"/>
  <c r="I12" i="1"/>
  <c r="C44" i="2" s="1"/>
  <c r="C45" i="2" l="1"/>
  <c r="C29" i="2"/>
  <c r="G7" i="1"/>
  <c r="C23" i="2" s="1"/>
  <c r="I7" i="1"/>
  <c r="C39" i="2" s="1"/>
  <c r="I6" i="1"/>
  <c r="C38" i="2" s="1"/>
  <c r="F11" i="1"/>
  <c r="I11" i="1" s="1"/>
  <c r="C43" i="2" s="1"/>
  <c r="F10" i="1"/>
  <c r="I10" i="1" s="1"/>
  <c r="C42" i="2" s="1"/>
  <c r="F9" i="1"/>
  <c r="I9" i="1" s="1"/>
  <c r="C41" i="2" s="1"/>
  <c r="F8" i="1"/>
  <c r="I8" i="1" s="1"/>
  <c r="C40" i="2" s="1"/>
  <c r="F7" i="1"/>
  <c r="F6" i="1"/>
  <c r="G6" i="1" s="1"/>
  <c r="C22" i="2" s="1"/>
  <c r="F5" i="1"/>
  <c r="G8" i="1" l="1"/>
  <c r="C24" i="2" s="1"/>
  <c r="G9" i="1"/>
  <c r="C25" i="2" s="1"/>
  <c r="I5" i="1"/>
  <c r="F18" i="1"/>
  <c r="G10" i="1"/>
  <c r="C26" i="2" s="1"/>
  <c r="G11" i="1"/>
  <c r="C27" i="2" s="1"/>
  <c r="G5" i="1"/>
  <c r="G19" i="1" l="1"/>
  <c r="C21" i="2"/>
  <c r="I19" i="1"/>
  <c r="C37" i="2"/>
  <c r="E12" i="5" l="1"/>
  <c r="C50" i="2"/>
  <c r="C33" i="2"/>
  <c r="C12" i="5"/>
  <c r="L12" i="5" l="1"/>
  <c r="D13" i="5"/>
  <c r="M12" i="5"/>
  <c r="F13" i="5"/>
</calcChain>
</file>

<file path=xl/sharedStrings.xml><?xml version="1.0" encoding="utf-8"?>
<sst xmlns="http://schemas.openxmlformats.org/spreadsheetml/2006/main" count="730" uniqueCount="106">
  <si>
    <t>enero</t>
  </si>
  <si>
    <t>febrero</t>
  </si>
  <si>
    <t>marzo</t>
  </si>
  <si>
    <t>abril</t>
  </si>
  <si>
    <t>mayo</t>
  </si>
  <si>
    <t>junio</t>
  </si>
  <si>
    <t>julio</t>
  </si>
  <si>
    <t>Kw-h</t>
  </si>
  <si>
    <t>$</t>
  </si>
  <si>
    <t>U$S</t>
  </si>
  <si>
    <t>$ x U$S</t>
  </si>
  <si>
    <t>lts- kg</t>
  </si>
  <si>
    <t>U$S / lt-kg</t>
  </si>
  <si>
    <t>U$S / Kw-h</t>
  </si>
  <si>
    <t>promedio</t>
  </si>
  <si>
    <t>ENERGIA ELECTRICA 2023</t>
  </si>
  <si>
    <t>agosto</t>
  </si>
  <si>
    <t>consumo energía eléctrica</t>
  </si>
  <si>
    <t>costo unitario energía eléctrica por unidad producida</t>
  </si>
  <si>
    <t>costo energía eléctrica por unidad consumida</t>
  </si>
  <si>
    <t>septiembre</t>
  </si>
  <si>
    <t>octubre</t>
  </si>
  <si>
    <t>noviembre</t>
  </si>
  <si>
    <t>diciembre</t>
  </si>
  <si>
    <t>total</t>
  </si>
  <si>
    <t>promedio ponderado</t>
  </si>
  <si>
    <t>Kw-h / lt-kg</t>
  </si>
  <si>
    <t xml:space="preserve">medidor </t>
  </si>
  <si>
    <t>unidades</t>
  </si>
  <si>
    <t>Kw-h / udades</t>
  </si>
  <si>
    <t>U$S / unidad</t>
  </si>
  <si>
    <t>( conectado sector sopladoras )</t>
  </si>
  <si>
    <t xml:space="preserve">con ambos medidores </t>
  </si>
  <si>
    <t>medidor producción</t>
  </si>
  <si>
    <t>consumo energía eléctrica por unidad producida</t>
  </si>
  <si>
    <t>Kw-h/ lt-kg</t>
  </si>
  <si>
    <t>2 medidores</t>
  </si>
  <si>
    <t>1 medidor</t>
  </si>
  <si>
    <t>ENERGIA ELECTRICA 2024</t>
  </si>
  <si>
    <t>U$S / lt-kg-udad</t>
  </si>
  <si>
    <t>lts- kg- udades</t>
  </si>
  <si>
    <t>con ambos medidores</t>
  </si>
  <si>
    <t>,</t>
  </si>
  <si>
    <t>kW-h</t>
  </si>
  <si>
    <t>U$S/KW</t>
  </si>
  <si>
    <t>U$S /lt-kg</t>
  </si>
  <si>
    <t>KW / lt-kg</t>
  </si>
  <si>
    <t>U$S /udad</t>
  </si>
  <si>
    <t xml:space="preserve">  promedio con 2 medidores</t>
  </si>
  <si>
    <t xml:space="preserve">   medidor de producción</t>
  </si>
  <si>
    <t xml:space="preserve">   medidor de sopladoras</t>
  </si>
  <si>
    <t>ENERGIA ELECTRICA 2025</t>
  </si>
  <si>
    <t>medidor sopladora-A800-A900</t>
  </si>
  <si>
    <t>ambos medidores</t>
  </si>
  <si>
    <t>%</t>
  </si>
  <si>
    <t xml:space="preserve">COMPARATIVA </t>
  </si>
  <si>
    <t>KW / udad</t>
  </si>
  <si>
    <t>ENERGIA ELECTRICA</t>
  </si>
  <si>
    <t>A300-400-500-600-700-1000-1100</t>
  </si>
  <si>
    <t>A800, A900, Sopladoras y picado bidones</t>
  </si>
  <si>
    <t xml:space="preserve">incluye líquidos evaporados y fardos </t>
  </si>
  <si>
    <t>medidor producción - servicios</t>
  </si>
  <si>
    <t>promedio pond</t>
  </si>
  <si>
    <t>ENERGIA</t>
  </si>
  <si>
    <t>Pot contrat 1100</t>
  </si>
  <si>
    <t>Pot contrat 1000</t>
  </si>
  <si>
    <t>288-302</t>
  </si>
  <si>
    <t>582-570</t>
  </si>
  <si>
    <t>302-317</t>
  </si>
  <si>
    <t>655-722</t>
  </si>
  <si>
    <t>609-685</t>
  </si>
  <si>
    <t>ENERGIA ELECTRICA 2026</t>
  </si>
  <si>
    <t>A800, A900, 1000 ,1100 Sopladoras y picado bidones</t>
  </si>
  <si>
    <t>A300-400-500-600-700</t>
  </si>
  <si>
    <t xml:space="preserve">promedio </t>
  </si>
  <si>
    <t>Sopladoras</t>
  </si>
  <si>
    <t>Servicios</t>
  </si>
  <si>
    <t>compresores</t>
  </si>
  <si>
    <t>caldera</t>
  </si>
  <si>
    <t>tablero nave 5</t>
  </si>
  <si>
    <t>iluminacion nave 1</t>
  </si>
  <si>
    <t>iluminacion nave 3</t>
  </si>
  <si>
    <t>iluminacion extreior</t>
  </si>
  <si>
    <t>calefaccion planta</t>
  </si>
  <si>
    <t>area</t>
  </si>
  <si>
    <t>Arranque KW</t>
  </si>
  <si>
    <t>maximo KW</t>
  </si>
  <si>
    <t>carga KW</t>
  </si>
  <si>
    <t>mínimo KW</t>
  </si>
  <si>
    <t>potencia instalada</t>
  </si>
  <si>
    <t>400 / 500</t>
  </si>
  <si>
    <t>700 /800 /1000 /1100</t>
  </si>
  <si>
    <t>tratamiento de efluentes</t>
  </si>
  <si>
    <t>tablero administración</t>
  </si>
  <si>
    <t>iluminación nave 2</t>
  </si>
  <si>
    <t>Producción</t>
  </si>
  <si>
    <t>equipo</t>
  </si>
  <si>
    <t>hasta 30/4</t>
  </si>
  <si>
    <t>sin datos</t>
  </si>
  <si>
    <t>sin actividd</t>
  </si>
  <si>
    <t>2 turnos</t>
  </si>
  <si>
    <t>3 turnos</t>
  </si>
  <si>
    <t>actividad actual</t>
  </si>
  <si>
    <t>nave 3: depósito de materias primas</t>
  </si>
  <si>
    <t>nave 2 : areas productivas</t>
  </si>
  <si>
    <t>nave 1: depósito de producto 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</si>
</sst>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000"/>
    <numFmt numFmtId="166" formatCode="0.000"/>
    <numFmt numFmtId="167" formatCode="#,##0.0"/>
    <numFmt numFmtId="168" formatCode="#,##0.000"/>
    <numFmt numFmtId="169" formatCode="0.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0" borderId="0" xfId="0" applyFont="1"/>
    <xf numFmtId="0" fontId="1" fillId="0" borderId="0" xfId="0" applyFont="1" applyFill="1" applyBorder="1" applyAlignment="1">
      <alignment horizontal="center"/>
    </xf>
    <xf numFmtId="3" fontId="1" fillId="0" borderId="0" xfId="0" applyNumberFormat="1" applyFont="1"/>
    <xf numFmtId="0" fontId="2" fillId="0" borderId="0" xfId="0" applyFont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165" fontId="0" fillId="0" borderId="0" xfId="0" applyNumberFormat="1"/>
    <xf numFmtId="164" fontId="6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" fontId="0" fillId="0" borderId="0" xfId="0" applyNumberForma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7" fillId="0" borderId="0" xfId="0" applyFont="1"/>
    <xf numFmtId="9" fontId="0" fillId="0" borderId="0" xfId="1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0" fontId="13" fillId="0" borderId="0" xfId="0" applyFont="1"/>
    <xf numFmtId="3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164" fontId="11" fillId="0" borderId="0" xfId="0" applyNumberFormat="1" applyFont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center"/>
    </xf>
    <xf numFmtId="0" fontId="14" fillId="0" borderId="0" xfId="0" applyFont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9" fillId="3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0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7" fillId="0" borderId="0" xfId="0" applyFont="1" applyFill="1"/>
    <xf numFmtId="0" fontId="17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165" fontId="0" fillId="0" borderId="0" xfId="0" quotePrefix="1" applyNumberFormat="1" applyAlignment="1">
      <alignment horizontal="center"/>
    </xf>
    <xf numFmtId="17" fontId="0" fillId="0" borderId="0" xfId="0" applyNumberFormat="1"/>
    <xf numFmtId="165" fontId="4" fillId="0" borderId="0" xfId="0" quotePrefix="1" applyNumberFormat="1" applyFont="1" applyAlignment="1">
      <alignment horizontal="center"/>
    </xf>
    <xf numFmtId="169" fontId="4" fillId="0" borderId="0" xfId="0" quotePrefix="1" applyNumberFormat="1" applyFont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21" fillId="0" borderId="0" xfId="0" applyFont="1"/>
    <xf numFmtId="0" fontId="15" fillId="3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3" fontId="0" fillId="0" borderId="0" xfId="0" applyNumberFormat="1"/>
    <xf numFmtId="0" fontId="2" fillId="6" borderId="0" xfId="0" applyFont="1" applyFill="1"/>
    <xf numFmtId="0" fontId="0" fillId="6" borderId="0" xfId="0" applyFill="1"/>
    <xf numFmtId="0" fontId="1" fillId="7" borderId="0" xfId="0" applyFont="1" applyFill="1" applyBorder="1" applyAlignment="1">
      <alignment horizontal="left"/>
    </xf>
    <xf numFmtId="0" fontId="0" fillId="7" borderId="0" xfId="0" applyFill="1" applyAlignment="1">
      <alignment horizontal="center"/>
    </xf>
    <xf numFmtId="3" fontId="1" fillId="7" borderId="0" xfId="0" applyNumberFormat="1" applyFont="1" applyFill="1"/>
    <xf numFmtId="165" fontId="1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2" borderId="0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3" fontId="1" fillId="2" borderId="0" xfId="0" applyNumberFormat="1" applyFont="1" applyFill="1"/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6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2" fillId="0" borderId="0" xfId="0" applyFont="1"/>
    <xf numFmtId="3" fontId="23" fillId="0" borderId="0" xfId="0" applyNumberFormat="1" applyFont="1"/>
    <xf numFmtId="16" fontId="24" fillId="0" borderId="0" xfId="0" applyNumberFormat="1" applyFont="1"/>
    <xf numFmtId="0" fontId="25" fillId="0" borderId="0" xfId="0" applyFont="1" applyFill="1" applyAlignment="1">
      <alignment horizontal="center"/>
    </xf>
    <xf numFmtId="3" fontId="25" fillId="0" borderId="0" xfId="0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3" fontId="25" fillId="0" borderId="0" xfId="0" applyNumberFormat="1" applyFont="1" applyAlignment="1">
      <alignment horizontal="center"/>
    </xf>
    <xf numFmtId="0" fontId="23" fillId="0" borderId="0" xfId="0" applyFont="1"/>
    <xf numFmtId="0" fontId="25" fillId="0" borderId="0" xfId="0" applyFont="1" applyAlignment="1">
      <alignment horizontal="right"/>
    </xf>
    <xf numFmtId="164" fontId="25" fillId="0" borderId="0" xfId="0" applyNumberFormat="1" applyFont="1" applyAlignment="1">
      <alignment horizontal="center"/>
    </xf>
    <xf numFmtId="0" fontId="0" fillId="0" borderId="0" xfId="0" applyFont="1"/>
    <xf numFmtId="165" fontId="6" fillId="0" borderId="1" xfId="0" applyNumberFormat="1" applyFon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3" fontId="6" fillId="0" borderId="1" xfId="0" applyNumberFormat="1" applyFon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26" fillId="8" borderId="1" xfId="0" applyFont="1" applyFill="1" applyBorder="1"/>
    <xf numFmtId="0" fontId="28" fillId="0" borderId="0" xfId="0" applyFont="1" applyAlignment="1"/>
    <xf numFmtId="0" fontId="26" fillId="8" borderId="0" xfId="0" applyFont="1" applyFill="1"/>
    <xf numFmtId="0" fontId="22" fillId="0" borderId="0" xfId="0" applyFont="1" applyAlignment="1">
      <alignment horizontal="center"/>
    </xf>
    <xf numFmtId="3" fontId="29" fillId="0" borderId="1" xfId="0" applyNumberFormat="1" applyFont="1" applyBorder="1" applyAlignment="1">
      <alignment horizontal="center"/>
    </xf>
    <xf numFmtId="3" fontId="30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1" fillId="4" borderId="4" xfId="0" applyFont="1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3" fontId="1" fillId="4" borderId="2" xfId="0" applyNumberFormat="1" applyFont="1" applyFill="1" applyBorder="1"/>
    <xf numFmtId="165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0" fillId="9" borderId="1" xfId="0" applyFont="1" applyFill="1" applyBorder="1"/>
    <xf numFmtId="0" fontId="9" fillId="9" borderId="1" xfId="0" applyFont="1" applyFill="1" applyBorder="1" applyAlignment="1">
      <alignment horizontal="center"/>
    </xf>
    <xf numFmtId="0" fontId="26" fillId="9" borderId="1" xfId="0" applyFont="1" applyFill="1" applyBorder="1"/>
    <xf numFmtId="0" fontId="26" fillId="9" borderId="0" xfId="0" applyFont="1" applyFill="1"/>
    <xf numFmtId="0" fontId="1" fillId="2" borderId="4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3" fontId="1" fillId="2" borderId="2" xfId="0" applyNumberFormat="1" applyFont="1" applyFill="1" applyBorder="1"/>
    <xf numFmtId="165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2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" fontId="27" fillId="2" borderId="2" xfId="0" applyNumberFormat="1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17" fontId="1" fillId="4" borderId="1" xfId="0" applyNumberFormat="1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6" borderId="1" xfId="0" applyFill="1" applyBorder="1"/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0" fillId="0" borderId="0" xfId="0" applyFill="1" applyBorder="1"/>
    <xf numFmtId="0" fontId="10" fillId="0" borderId="0" xfId="0" applyFont="1" applyFill="1" applyBorder="1"/>
    <xf numFmtId="0" fontId="15" fillId="0" borderId="0" xfId="0" applyFon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22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" fontId="27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3" fontId="0" fillId="0" borderId="0" xfId="0" applyNumberFormat="1" applyFill="1" applyBorder="1"/>
    <xf numFmtId="3" fontId="23" fillId="0" borderId="0" xfId="0" applyNumberFormat="1" applyFont="1" applyFill="1" applyBorder="1"/>
    <xf numFmtId="16" fontId="24" fillId="0" borderId="0" xfId="0" applyNumberFormat="1" applyFont="1" applyFill="1" applyBorder="1"/>
    <xf numFmtId="0" fontId="1" fillId="0" borderId="14" xfId="0" applyFont="1" applyBorder="1" applyAlignment="1">
      <alignment horizontal="left"/>
    </xf>
    <xf numFmtId="0" fontId="31" fillId="0" borderId="0" xfId="0" applyFont="1"/>
    <xf numFmtId="0" fontId="31" fillId="0" borderId="0" xfId="0" applyFont="1" applyBorder="1"/>
    <xf numFmtId="3" fontId="0" fillId="0" borderId="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0" fontId="1" fillId="10" borderId="13" xfId="0" applyFont="1" applyFill="1" applyBorder="1" applyAlignment="1">
      <alignment horizontal="left"/>
    </xf>
    <xf numFmtId="0" fontId="1" fillId="10" borderId="15" xfId="0" applyFont="1" applyFill="1" applyBorder="1" applyAlignment="1">
      <alignment horizontal="left"/>
    </xf>
    <xf numFmtId="0" fontId="1" fillId="10" borderId="5" xfId="0" applyFont="1" applyFill="1" applyBorder="1" applyAlignment="1">
      <alignment horizontal="left"/>
    </xf>
    <xf numFmtId="0" fontId="1" fillId="10" borderId="6" xfId="0" applyFont="1" applyFill="1" applyBorder="1" applyAlignment="1">
      <alignment horizontal="left"/>
    </xf>
    <xf numFmtId="0" fontId="0" fillId="10" borderId="6" xfId="0" applyFill="1" applyBorder="1"/>
    <xf numFmtId="0" fontId="1" fillId="10" borderId="10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0" fillId="10" borderId="7" xfId="0" applyFill="1" applyBorder="1"/>
    <xf numFmtId="0" fontId="1" fillId="10" borderId="6" xfId="0" applyFont="1" applyFill="1" applyBorder="1"/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4" fillId="10" borderId="12" xfId="0" applyFont="1" applyFill="1" applyBorder="1" applyAlignment="1">
      <alignment horizontal="center"/>
    </xf>
    <xf numFmtId="0" fontId="1" fillId="10" borderId="11" xfId="0" applyFont="1" applyFill="1" applyBorder="1"/>
    <xf numFmtId="0" fontId="1" fillId="10" borderId="12" xfId="0" applyFont="1" applyFill="1" applyBorder="1" applyAlignment="1">
      <alignment horizontal="center"/>
    </xf>
    <xf numFmtId="0" fontId="1" fillId="10" borderId="1" xfId="0" applyFont="1" applyFill="1" applyBorder="1"/>
    <xf numFmtId="0" fontId="0" fillId="10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24" fillId="10" borderId="11" xfId="0" applyFont="1" applyFill="1" applyBorder="1" applyAlignment="1">
      <alignment horizontal="center"/>
    </xf>
    <xf numFmtId="3" fontId="32" fillId="0" borderId="14" xfId="0" applyNumberFormat="1" applyFont="1" applyFill="1" applyBorder="1" applyAlignment="1">
      <alignment horizontal="center"/>
    </xf>
    <xf numFmtId="3" fontId="32" fillId="0" borderId="15" xfId="0" applyNumberFormat="1" applyFont="1" applyFill="1" applyBorder="1" applyAlignment="1">
      <alignment horizontal="center"/>
    </xf>
    <xf numFmtId="0" fontId="33" fillId="0" borderId="14" xfId="0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10" borderId="5" xfId="0" applyFill="1" applyBorder="1"/>
    <xf numFmtId="0" fontId="0" fillId="0" borderId="1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3" fontId="0" fillId="0" borderId="7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3" fontId="0" fillId="0" borderId="9" xfId="0" applyNumberFormat="1" applyFont="1" applyBorder="1" applyAlignment="1">
      <alignment horizontal="center"/>
    </xf>
    <xf numFmtId="3" fontId="0" fillId="0" borderId="12" xfId="0" applyNumberFormat="1" applyFont="1" applyBorder="1" applyAlignment="1">
      <alignment horizontal="center"/>
    </xf>
    <xf numFmtId="0" fontId="0" fillId="10" borderId="5" xfId="0" applyFont="1" applyFill="1" applyBorder="1" applyAlignment="1">
      <alignment horizontal="left"/>
    </xf>
    <xf numFmtId="0" fontId="0" fillId="10" borderId="7" xfId="0" applyFont="1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resumen!$K$6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resumen!$L$6:$N$6</c:f>
              <c:numCache>
                <c:formatCode>0.0000</c:formatCode>
                <c:ptCount val="3"/>
                <c:pt idx="0">
                  <c:v>9.8000566953989968E-2</c:v>
                </c:pt>
                <c:pt idx="1">
                  <c:v>1.7020672370086636E-2</c:v>
                </c:pt>
                <c:pt idx="2">
                  <c:v>0.16541383996975736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E-4306-BAD5-35B98281796A}"/>
            </c:ext>
          </c:extLst>
        </c:ser>
        <c:ser>
          <c:idx val="1"/>
          <c:order val="1"/>
          <c:tx>
            <c:strRef>
              <c:f>resumen!$K$7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resumen!$L$7:$N$7</c:f>
              <c:numCache>
                <c:formatCode>0.0000</c:formatCode>
                <c:ptCount val="3"/>
                <c:pt idx="0">
                  <c:v>0.16341625007227217</c:v>
                </c:pt>
                <c:pt idx="1">
                  <c:v>2.306119094195239E-2</c:v>
                </c:pt>
                <c:pt idx="2">
                  <c:v>0.1633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E-4306-BAD5-35B98281796A}"/>
            </c:ext>
          </c:extLst>
        </c:ser>
        <c:ser>
          <c:idx val="2"/>
          <c:order val="2"/>
          <c:tx>
            <c:strRef>
              <c:f>resumen!$K$8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resumen!$L$8:$N$8</c:f>
              <c:numCache>
                <c:formatCode>0.0000</c:formatCode>
                <c:ptCount val="3"/>
                <c:pt idx="0">
                  <c:v>0.18298167824586045</c:v>
                </c:pt>
                <c:pt idx="1">
                  <c:v>3.337850524082555E-2</c:v>
                </c:pt>
                <c:pt idx="2">
                  <c:v>0.16644184648321675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5E-4306-BAD5-35B98281796A}"/>
            </c:ext>
          </c:extLst>
        </c:ser>
        <c:ser>
          <c:idx val="3"/>
          <c:order val="3"/>
          <c:tx>
            <c:strRef>
              <c:f>resumen!$K$9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resumen!$L$9:$N$9</c:f>
              <c:numCache>
                <c:formatCode>0.0000</c:formatCode>
                <c:ptCount val="3"/>
                <c:pt idx="0">
                  <c:v>0.19261062726482547</c:v>
                </c:pt>
                <c:pt idx="1">
                  <c:v>4.9677681328125077E-2</c:v>
                </c:pt>
                <c:pt idx="2">
                  <c:v>0.26080872224135443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2-4674-8587-DB2627738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077440"/>
        <c:axId val="365077856"/>
      </c:barChart>
      <c:catAx>
        <c:axId val="3650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5077856"/>
        <c:crosses val="autoZero"/>
        <c:auto val="1"/>
        <c:lblAlgn val="ctr"/>
        <c:lblOffset val="100"/>
        <c:noMultiLvlLbl val="0"/>
      </c:catAx>
      <c:valAx>
        <c:axId val="3650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50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medidor producción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resumen!$K$12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resumen!$L$12:$N$12</c:f>
              <c:numCache>
                <c:formatCode>0.0000</c:formatCode>
                <c:ptCount val="3"/>
                <c:pt idx="0">
                  <c:v>8.4701111535063961E-2</c:v>
                </c:pt>
                <c:pt idx="1">
                  <c:v>1.3540315833292958E-2</c:v>
                </c:pt>
                <c:pt idx="2">
                  <c:v>0.14423042190160257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5-4D56-ABCE-B5D3459DC23C}"/>
            </c:ext>
          </c:extLst>
        </c:ser>
        <c:ser>
          <c:idx val="1"/>
          <c:order val="1"/>
          <c:tx>
            <c:strRef>
              <c:f>resumen!$K$13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resumen!$L$13:$N$13</c:f>
              <c:numCache>
                <c:formatCode>0.0000</c:formatCode>
                <c:ptCount val="3"/>
                <c:pt idx="0">
                  <c:v>0.13337968242330456</c:v>
                </c:pt>
                <c:pt idx="1">
                  <c:v>1.8826241238455849E-2</c:v>
                </c:pt>
                <c:pt idx="2">
                  <c:v>0.13266517096499078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5-4D56-ABCE-B5D3459DC23C}"/>
            </c:ext>
          </c:extLst>
        </c:ser>
        <c:ser>
          <c:idx val="2"/>
          <c:order val="2"/>
          <c:tx>
            <c:strRef>
              <c:f>resumen!$K$14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resumen!$L$14:$N$14</c:f>
              <c:numCache>
                <c:formatCode>0.0000</c:formatCode>
                <c:ptCount val="3"/>
                <c:pt idx="0">
                  <c:v>0.18231924989933537</c:v>
                </c:pt>
                <c:pt idx="1">
                  <c:v>2.3351890954673906E-2</c:v>
                </c:pt>
                <c:pt idx="2">
                  <c:v>0.11585072015162463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5-4D56-ABCE-B5D3459DC23C}"/>
            </c:ext>
          </c:extLst>
        </c:ser>
        <c:ser>
          <c:idx val="3"/>
          <c:order val="3"/>
          <c:tx>
            <c:strRef>
              <c:f>resumen!$K$15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resumen!$L$15:$N$15</c:f>
              <c:numCache>
                <c:formatCode>0.0000</c:formatCode>
                <c:ptCount val="3"/>
                <c:pt idx="0">
                  <c:v>0.1849875939748854</c:v>
                </c:pt>
                <c:pt idx="1">
                  <c:v>4.3645391328257427E-2</c:v>
                </c:pt>
                <c:pt idx="2">
                  <c:v>0.2381450275233766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75-45EF-9DA5-801165610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5147632"/>
        <c:axId val="2035148048"/>
      </c:barChart>
      <c:catAx>
        <c:axId val="203514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35148048"/>
        <c:crosses val="autoZero"/>
        <c:auto val="1"/>
        <c:lblAlgn val="ctr"/>
        <c:lblOffset val="100"/>
        <c:noMultiLvlLbl val="0"/>
      </c:catAx>
      <c:valAx>
        <c:axId val="20351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3514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medidor sopladoras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resumen!$K$18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resumen!$L$18:$N$18</c:f>
              <c:numCache>
                <c:formatCode>0.0000</c:formatCode>
                <c:ptCount val="3"/>
                <c:pt idx="0">
                  <c:v>1.012066245774375</c:v>
                </c:pt>
                <c:pt idx="1">
                  <c:v>0.58745940520972517</c:v>
                </c:pt>
                <c:pt idx="2">
                  <c:v>1.2046941530792399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1-40D8-BA40-51C671ED7A30}"/>
            </c:ext>
          </c:extLst>
        </c:ser>
        <c:ser>
          <c:idx val="1"/>
          <c:order val="1"/>
          <c:tx>
            <c:strRef>
              <c:f>resumen!$K$19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resumen!$L$19:$N$19</c:f>
              <c:numCache>
                <c:formatCode>0.0000</c:formatCode>
                <c:ptCount val="3"/>
                <c:pt idx="0">
                  <c:v>3.0574800654127037</c:v>
                </c:pt>
                <c:pt idx="1">
                  <c:v>0.73639433480460237</c:v>
                </c:pt>
                <c:pt idx="2">
                  <c:v>0.24235060535313435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A1-40D8-BA40-51C671ED7A30}"/>
            </c:ext>
          </c:extLst>
        </c:ser>
        <c:ser>
          <c:idx val="2"/>
          <c:order val="2"/>
          <c:tx>
            <c:strRef>
              <c:f>resumen!$K$20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resumen!$L$20:$N$20</c:f>
              <c:numCache>
                <c:formatCode>0.0000</c:formatCode>
                <c:ptCount val="3"/>
                <c:pt idx="0">
                  <c:v>0.19465288250339402</c:v>
                </c:pt>
                <c:pt idx="1">
                  <c:v>8.6667204627006486E-2</c:v>
                </c:pt>
                <c:pt idx="2">
                  <c:v>0.42989244482819727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A1-40D8-BA40-51C671ED7A30}"/>
            </c:ext>
          </c:extLst>
        </c:ser>
        <c:ser>
          <c:idx val="3"/>
          <c:order val="3"/>
          <c:tx>
            <c:strRef>
              <c:f>resumen!$K$21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resumen!$L$21:$N$21</c:f>
              <c:numCache>
                <c:formatCode>0.0000</c:formatCode>
                <c:ptCount val="3"/>
                <c:pt idx="0">
                  <c:v>0.20596598999878934</c:v>
                </c:pt>
                <c:pt idx="1">
                  <c:v>6.3332858630064548E-2</c:v>
                </c:pt>
                <c:pt idx="2">
                  <c:v>0.31211208625366244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5-4B03-8353-0A791A7F9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703103"/>
        <c:axId val="438701023"/>
      </c:barChart>
      <c:catAx>
        <c:axId val="43870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38701023"/>
        <c:crosses val="autoZero"/>
        <c:auto val="1"/>
        <c:lblAlgn val="ctr"/>
        <c:lblOffset val="100"/>
        <c:noMultiLvlLbl val="0"/>
      </c:catAx>
      <c:valAx>
        <c:axId val="43870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3870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23'!$C$4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23'!$C$5:$C$16</c:f>
              <c:numCache>
                <c:formatCode>#,##0</c:formatCode>
                <c:ptCount val="12"/>
                <c:pt idx="0">
                  <c:v>264947</c:v>
                </c:pt>
                <c:pt idx="1">
                  <c:v>517814</c:v>
                </c:pt>
                <c:pt idx="2">
                  <c:v>428057</c:v>
                </c:pt>
                <c:pt idx="3">
                  <c:v>420763</c:v>
                </c:pt>
                <c:pt idx="4">
                  <c:v>406760</c:v>
                </c:pt>
                <c:pt idx="5">
                  <c:v>396362</c:v>
                </c:pt>
                <c:pt idx="6">
                  <c:v>500485</c:v>
                </c:pt>
                <c:pt idx="7">
                  <c:v>479515</c:v>
                </c:pt>
                <c:pt idx="8">
                  <c:v>430806</c:v>
                </c:pt>
                <c:pt idx="9">
                  <c:v>350585</c:v>
                </c:pt>
                <c:pt idx="10">
                  <c:v>309975</c:v>
                </c:pt>
                <c:pt idx="11">
                  <c:v>109030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6-4F8A-8E66-9F010824F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47167"/>
        <c:axId val="75947583"/>
      </c:lineChart>
      <c:catAx>
        <c:axId val="759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583"/>
        <c:crosses val="autoZero"/>
        <c:auto val="1"/>
        <c:lblAlgn val="ctr"/>
        <c:lblOffset val="100"/>
        <c:noMultiLvlLbl val="0"/>
      </c:catAx>
      <c:valAx>
        <c:axId val="7594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23'!$C$20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23'!$C$21:$C$32</c:f>
              <c:numCache>
                <c:formatCode>#,##0.0000</c:formatCode>
                <c:ptCount val="12"/>
                <c:pt idx="0">
                  <c:v>7.3723214700364192E-2</c:v>
                </c:pt>
                <c:pt idx="1">
                  <c:v>6.7127527508742069E-2</c:v>
                </c:pt>
                <c:pt idx="2">
                  <c:v>6.9249101850215447E-2</c:v>
                </c:pt>
                <c:pt idx="3">
                  <c:v>6.79263520133042E-2</c:v>
                </c:pt>
                <c:pt idx="4">
                  <c:v>9.3861577455751896E-2</c:v>
                </c:pt>
                <c:pt idx="5">
                  <c:v>9.1819789703304872E-2</c:v>
                </c:pt>
                <c:pt idx="6">
                  <c:v>8.5965340892061981E-2</c:v>
                </c:pt>
                <c:pt idx="7">
                  <c:v>8.1151563101929905E-2</c:v>
                </c:pt>
                <c:pt idx="8">
                  <c:v>9.130849843892605E-2</c:v>
                </c:pt>
                <c:pt idx="9">
                  <c:v>0.11004480355845332</c:v>
                </c:pt>
                <c:pt idx="10">
                  <c:v>0.11855668677418162</c:v>
                </c:pt>
                <c:pt idx="11">
                  <c:v>0.11800532195876876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0-44EC-9DE8-6340659C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61823"/>
        <c:axId val="22560991"/>
      </c:lineChart>
      <c:catAx>
        <c:axId val="2256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560991"/>
        <c:crosses val="autoZero"/>
        <c:auto val="1"/>
        <c:lblAlgn val="ctr"/>
        <c:lblOffset val="100"/>
        <c:noMultiLvlLbl val="0"/>
      </c:catAx>
      <c:valAx>
        <c:axId val="225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56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23'!$C$36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23'!$C$37:$C$48</c:f>
              <c:numCache>
                <c:formatCode>#,##0.0000</c:formatCode>
                <c:ptCount val="12"/>
                <c:pt idx="0">
                  <c:v>1.752051358049728E-2</c:v>
                </c:pt>
                <c:pt idx="1">
                  <c:v>1.4921019161644681E-2</c:v>
                </c:pt>
                <c:pt idx="2">
                  <c:v>1.6927705866392143E-2</c:v>
                </c:pt>
                <c:pt idx="3">
                  <c:v>1.0507392499167822E-2</c:v>
                </c:pt>
                <c:pt idx="4">
                  <c:v>3.328201897405865E-2</c:v>
                </c:pt>
                <c:pt idx="5">
                  <c:v>1.4904808382163529E-2</c:v>
                </c:pt>
                <c:pt idx="6">
                  <c:v>1.5638626483506463E-2</c:v>
                </c:pt>
                <c:pt idx="7">
                  <c:v>1.1924848372365422E-2</c:v>
                </c:pt>
                <c:pt idx="8">
                  <c:v>1.3683358655577467E-2</c:v>
                </c:pt>
                <c:pt idx="9">
                  <c:v>1.4326264577097453E-2</c:v>
                </c:pt>
                <c:pt idx="10">
                  <c:v>2.6632853320501318E-2</c:v>
                </c:pt>
                <c:pt idx="11">
                  <c:v>1.1125203853373292E-2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1-4014-8663-3ED7AA2B8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761407"/>
        <c:axId val="1925759743"/>
      </c:lineChart>
      <c:catAx>
        <c:axId val="19257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5759743"/>
        <c:crosses val="autoZero"/>
        <c:auto val="1"/>
        <c:lblAlgn val="ctr"/>
        <c:lblOffset val="100"/>
        <c:noMultiLvlLbl val="0"/>
      </c:catAx>
      <c:valAx>
        <c:axId val="192575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576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 horizontalDpi="-2" verticalDpi="-2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23'!$M$20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23'!$L$21:$L$32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23'!$M$21:$M$32</c:f>
              <c:numCache>
                <c:formatCode>#,##0.0000</c:formatCode>
                <c:ptCount val="12"/>
                <c:pt idx="0">
                  <c:v>7.3723214700364192E-2</c:v>
                </c:pt>
                <c:pt idx="1">
                  <c:v>6.7127527508742069E-2</c:v>
                </c:pt>
                <c:pt idx="2">
                  <c:v>6.9249101850215447E-2</c:v>
                </c:pt>
                <c:pt idx="3">
                  <c:v>6.79263520133042E-2</c:v>
                </c:pt>
                <c:pt idx="4">
                  <c:v>9.3861577455751896E-2</c:v>
                </c:pt>
                <c:pt idx="5">
                  <c:v>9.1819789703304872E-2</c:v>
                </c:pt>
                <c:pt idx="6">
                  <c:v>8.5965340892061981E-2</c:v>
                </c:pt>
                <c:pt idx="7">
                  <c:v>9.8614161729964775E-2</c:v>
                </c:pt>
                <c:pt idx="8">
                  <c:v>0.10618415112777718</c:v>
                </c:pt>
                <c:pt idx="9">
                  <c:v>0.13406836569580069</c:v>
                </c:pt>
                <c:pt idx="10">
                  <c:v>0.14719606741591415</c:v>
                </c:pt>
                <c:pt idx="11">
                  <c:v>8.3473984902727602E-2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B-41BE-97CA-13D9E971A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701040"/>
        <c:axId val="1900701872"/>
      </c:lineChart>
      <c:catAx>
        <c:axId val="19007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0701872"/>
        <c:crosses val="autoZero"/>
        <c:auto val="1"/>
        <c:lblAlgn val="ctr"/>
        <c:lblOffset val="100"/>
        <c:noMultiLvlLbl val="0"/>
      </c:catAx>
      <c:valAx>
        <c:axId val="19007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070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 horizontalDpi="-2" verticalDpi="-2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23'!$M$36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23'!$L$37:$L$48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23'!$M$37:$M$48</c:f>
              <c:numCache>
                <c:formatCode>#,##0.0000</c:formatCode>
                <c:ptCount val="12"/>
                <c:pt idx="0">
                  <c:v>1.752051358049728E-2</c:v>
                </c:pt>
                <c:pt idx="1">
                  <c:v>1.4921019161644681E-2</c:v>
                </c:pt>
                <c:pt idx="2">
                  <c:v>1.6927705866392143E-2</c:v>
                </c:pt>
                <c:pt idx="3">
                  <c:v>1.0507392499167822E-2</c:v>
                </c:pt>
                <c:pt idx="4">
                  <c:v>3.328201897405865E-2</c:v>
                </c:pt>
                <c:pt idx="5">
                  <c:v>1.4904808382163529E-2</c:v>
                </c:pt>
                <c:pt idx="6">
                  <c:v>1.5638626483506463E-2</c:v>
                </c:pt>
                <c:pt idx="7">
                  <c:v>1.4962327286318052E-2</c:v>
                </c:pt>
                <c:pt idx="8">
                  <c:v>1.6488816655197788E-2</c:v>
                </c:pt>
                <c:pt idx="9">
                  <c:v>1.7624945244816229E-2</c:v>
                </c:pt>
                <c:pt idx="10">
                  <c:v>3.2815129807998625E-2</c:v>
                </c:pt>
                <c:pt idx="11">
                  <c:v>1.436580810040595E-2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C-4AC7-B353-9E4D783AE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043920"/>
        <c:axId val="1904040176"/>
      </c:lineChart>
      <c:catAx>
        <c:axId val="190404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4040176"/>
        <c:crosses val="autoZero"/>
        <c:auto val="1"/>
        <c:lblAlgn val="ctr"/>
        <c:lblOffset val="100"/>
        <c:noMultiLvlLbl val="0"/>
      </c:catAx>
      <c:valAx>
        <c:axId val="19040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404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23'!$M$4</c:f>
              <c:strCache>
                <c:ptCount val="1"/>
                <c:pt idx="0">
                  <c:v>Kw-h/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23'!$L$5:$L$16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23'!$M$5:$M$16</c:f>
              <c:numCache>
                <c:formatCode>#,##0.00</c:formatCode>
                <c:ptCount val="12"/>
                <c:pt idx="0">
                  <c:v>0.23765259900435037</c:v>
                </c:pt>
                <c:pt idx="1">
                  <c:v>0.22227869423168473</c:v>
                </c:pt>
                <c:pt idx="2">
                  <c:v>0.24444657640479531</c:v>
                </c:pt>
                <c:pt idx="3">
                  <c:v>0.1546880141172578</c:v>
                </c:pt>
                <c:pt idx="4">
                  <c:v>0.35458618825949756</c:v>
                </c:pt>
                <c:pt idx="5">
                  <c:v>0.16232675363693477</c:v>
                </c:pt>
                <c:pt idx="6">
                  <c:v>0.18191780921502201</c:v>
                </c:pt>
                <c:pt idx="7">
                  <c:v>0.15172594913182352</c:v>
                </c:pt>
                <c:pt idx="8">
                  <c:v>0.1552851012139834</c:v>
                </c:pt>
                <c:pt idx="9">
                  <c:v>0.13146237110704392</c:v>
                </c:pt>
                <c:pt idx="10">
                  <c:v>0.22293482688825425</c:v>
                </c:pt>
                <c:pt idx="11">
                  <c:v>0.17209922489200025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5-4D10-BF78-8440D0A01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47167"/>
        <c:axId val="75947583"/>
      </c:lineChart>
      <c:catAx>
        <c:axId val="759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583"/>
        <c:crosses val="autoZero"/>
        <c:auto val="1"/>
        <c:lblAlgn val="ctr"/>
        <c:lblOffset val="100"/>
        <c:noMultiLvlLbl val="0"/>
      </c:catAx>
      <c:valAx>
        <c:axId val="7594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kW-h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24'!$B$5:$B$16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24'!$C$5:$C$16</c:f>
              <c:numCache>
                <c:formatCode>#,##0</c:formatCode>
                <c:ptCount val="12"/>
                <c:pt idx="0">
                  <c:v>298108</c:v>
                </c:pt>
                <c:pt idx="1">
                  <c:v>348987</c:v>
                </c:pt>
                <c:pt idx="2">
                  <c:v>321818</c:v>
                </c:pt>
                <c:pt idx="3">
                  <c:v>315823</c:v>
                </c:pt>
                <c:pt idx="4">
                  <c:v>372057</c:v>
                </c:pt>
                <c:pt idx="5">
                  <c:v>253598</c:v>
                </c:pt>
                <c:pt idx="6">
                  <c:v>385292</c:v>
                </c:pt>
                <c:pt idx="7">
                  <c:v>375162</c:v>
                </c:pt>
                <c:pt idx="8">
                  <c:v>317159</c:v>
                </c:pt>
                <c:pt idx="9">
                  <c:v>379667</c:v>
                </c:pt>
                <c:pt idx="10">
                  <c:v>414311</c:v>
                </c:pt>
                <c:pt idx="11">
                  <c:v>236214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D-4982-AF4B-73DB5825E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5195328"/>
        <c:axId val="1535193664"/>
      </c:lineChart>
      <c:catAx>
        <c:axId val="153519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35193664"/>
        <c:crosses val="autoZero"/>
        <c:auto val="1"/>
        <c:lblAlgn val="ctr"/>
        <c:lblOffset val="100"/>
        <c:noMultiLvlLbl val="0"/>
      </c:catAx>
      <c:valAx>
        <c:axId val="153519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3519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24'!$C$20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24'!$B$21:$B$32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24'!$C$21:$C$32</c:f>
              <c:numCache>
                <c:formatCode>#,##0.0000</c:formatCode>
                <c:ptCount val="12"/>
                <c:pt idx="0">
                  <c:v>9.7305713932828122E-2</c:v>
                </c:pt>
                <c:pt idx="1">
                  <c:v>0.1170012985723364</c:v>
                </c:pt>
                <c:pt idx="2">
                  <c:v>0.14164683143888782</c:v>
                </c:pt>
                <c:pt idx="3">
                  <c:v>0.13767145144847212</c:v>
                </c:pt>
                <c:pt idx="4">
                  <c:v>0.12842679265937207</c:v>
                </c:pt>
                <c:pt idx="5">
                  <c:v>0.20725674062062396</c:v>
                </c:pt>
                <c:pt idx="6">
                  <c:v>0.1530932598659063</c:v>
                </c:pt>
                <c:pt idx="7">
                  <c:v>0.1566429122944937</c:v>
                </c:pt>
                <c:pt idx="8">
                  <c:v>0.17098894289379549</c:v>
                </c:pt>
                <c:pt idx="9">
                  <c:v>0.19898136639795927</c:v>
                </c:pt>
                <c:pt idx="10">
                  <c:v>0.1692917793006965</c:v>
                </c:pt>
                <c:pt idx="11">
                  <c:v>0.21767101914267767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6-4CB8-A4FF-943E63331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024608"/>
        <c:axId val="1456023360"/>
      </c:lineChart>
      <c:catAx>
        <c:axId val="14560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6023360"/>
        <c:crosses val="autoZero"/>
        <c:auto val="1"/>
        <c:lblAlgn val="ctr"/>
        <c:lblOffset val="100"/>
        <c:noMultiLvlLbl val="0"/>
      </c:catAx>
      <c:valAx>
        <c:axId val="14560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602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24'!$C$36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24'!$B$37:$B$48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24'!$C$37:$C$48</c:f>
              <c:numCache>
                <c:formatCode>#,##0.0000</c:formatCode>
                <c:ptCount val="12"/>
                <c:pt idx="0">
                  <c:v>1.3085347655963493E-2</c:v>
                </c:pt>
                <c:pt idx="1">
                  <c:v>1.367758214865685E-2</c:v>
                </c:pt>
                <c:pt idx="2">
                  <c:v>2.4412900392560104E-2</c:v>
                </c:pt>
                <c:pt idx="3">
                  <c:v>2.1346080886097355E-2</c:v>
                </c:pt>
                <c:pt idx="4">
                  <c:v>1.5062973655596272E-2</c:v>
                </c:pt>
                <c:pt idx="5">
                  <c:v>2.9971251780064968E-2</c:v>
                </c:pt>
                <c:pt idx="6">
                  <c:v>2.2609968093098665E-2</c:v>
                </c:pt>
                <c:pt idx="7">
                  <c:v>4.1417153851192934E-2</c:v>
                </c:pt>
                <c:pt idx="8">
                  <c:v>2.435857187676024E-2</c:v>
                </c:pt>
                <c:pt idx="9">
                  <c:v>2.6041986998842449E-2</c:v>
                </c:pt>
                <c:pt idx="10">
                  <c:v>2.3507248250717427E-2</c:v>
                </c:pt>
                <c:pt idx="11">
                  <c:v>4.7810455989139689E-2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A-4371-A663-7A24A603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383600"/>
        <c:axId val="1526386928"/>
      </c:lineChart>
      <c:catAx>
        <c:axId val="152638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26386928"/>
        <c:crosses val="autoZero"/>
        <c:auto val="1"/>
        <c:lblAlgn val="ctr"/>
        <c:lblOffset val="100"/>
        <c:noMultiLvlLbl val="0"/>
      </c:catAx>
      <c:valAx>
        <c:axId val="15263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2638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25'!$K$4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25'!$J$5:$J$16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25'!$K$5:$K$16</c:f>
              <c:numCache>
                <c:formatCode>#,##0</c:formatCode>
                <c:ptCount val="12"/>
                <c:pt idx="0">
                  <c:v>61020</c:v>
                </c:pt>
                <c:pt idx="1">
                  <c:v>198072</c:v>
                </c:pt>
                <c:pt idx="2">
                  <c:v>179748</c:v>
                </c:pt>
                <c:pt idx="3">
                  <c:v>144900</c:v>
                </c:pt>
                <c:pt idx="4">
                  <c:v>142992</c:v>
                </c:pt>
                <c:pt idx="5">
                  <c:v>153720</c:v>
                </c:pt>
                <c:pt idx="6">
                  <c:v>180000</c:v>
                </c:pt>
                <c:pt idx="7">
                  <c:v>137160</c:v>
                </c:pt>
                <c:pt idx="8">
                  <c:v>179136</c:v>
                </c:pt>
                <c:pt idx="9">
                  <c:v>173484</c:v>
                </c:pt>
                <c:pt idx="10">
                  <c:v>179388</c:v>
                </c:pt>
                <c:pt idx="11">
                  <c:v>125748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C-48E7-B2DB-258CCDF5E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921440"/>
        <c:axId val="332923104"/>
      </c:lineChart>
      <c:catAx>
        <c:axId val="33292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2923104"/>
        <c:crosses val="autoZero"/>
        <c:auto val="1"/>
        <c:lblAlgn val="ctr"/>
        <c:lblOffset val="100"/>
        <c:noMultiLvlLbl val="0"/>
      </c:catAx>
      <c:valAx>
        <c:axId val="3329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292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7388167388167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25'!$S$4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25'!$R$5:$R$16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25'!$S$5:$S$16</c:f>
              <c:numCache>
                <c:formatCode>#,##0</c:formatCode>
                <c:ptCount val="12"/>
                <c:pt idx="0">
                  <c:v>209360</c:v>
                </c:pt>
                <c:pt idx="1">
                  <c:v>359845</c:v>
                </c:pt>
                <c:pt idx="2">
                  <c:v>331035</c:v>
                </c:pt>
                <c:pt idx="3">
                  <c:v>358895</c:v>
                </c:pt>
                <c:pt idx="4">
                  <c:v>362250.4</c:v>
                </c:pt>
                <c:pt idx="5">
                  <c:v>410035</c:v>
                </c:pt>
                <c:pt idx="6">
                  <c:v>446424.95</c:v>
                </c:pt>
                <c:pt idx="7">
                  <c:v>375860</c:v>
                </c:pt>
                <c:pt idx="8">
                  <c:v>435766</c:v>
                </c:pt>
                <c:pt idx="9">
                  <c:v>405117</c:v>
                </c:pt>
                <c:pt idx="10">
                  <c:v>449673</c:v>
                </c:pt>
                <c:pt idx="11">
                  <c:v>328647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E-4C32-BA95-6B5F008A1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835744"/>
        <c:axId val="328832416"/>
      </c:lineChart>
      <c:catAx>
        <c:axId val="3288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832416"/>
        <c:crosses val="autoZero"/>
        <c:auto val="1"/>
        <c:lblAlgn val="ctr"/>
        <c:lblOffset val="100"/>
        <c:noMultiLvlLbl val="0"/>
      </c:catAx>
      <c:valAx>
        <c:axId val="3288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8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25'!$C$4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25'!$C$5:$C$16</c:f>
              <c:numCache>
                <c:formatCode>#,##0</c:formatCode>
                <c:ptCount val="12"/>
                <c:pt idx="0">
                  <c:v>148340</c:v>
                </c:pt>
                <c:pt idx="1">
                  <c:v>161773</c:v>
                </c:pt>
                <c:pt idx="2">
                  <c:v>151287</c:v>
                </c:pt>
                <c:pt idx="3">
                  <c:v>213995</c:v>
                </c:pt>
                <c:pt idx="4">
                  <c:v>219258.4</c:v>
                </c:pt>
                <c:pt idx="5">
                  <c:v>256315</c:v>
                </c:pt>
                <c:pt idx="6">
                  <c:v>266424.95</c:v>
                </c:pt>
                <c:pt idx="7">
                  <c:v>238700</c:v>
                </c:pt>
                <c:pt idx="8">
                  <c:v>256630</c:v>
                </c:pt>
                <c:pt idx="9">
                  <c:v>231633</c:v>
                </c:pt>
                <c:pt idx="10">
                  <c:v>270285</c:v>
                </c:pt>
                <c:pt idx="11">
                  <c:v>202899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1-4AF4-A9A2-47BDBFF62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920608"/>
        <c:axId val="332927680"/>
      </c:lineChart>
      <c:catAx>
        <c:axId val="3329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2927680"/>
        <c:crosses val="autoZero"/>
        <c:auto val="1"/>
        <c:lblAlgn val="ctr"/>
        <c:lblOffset val="100"/>
        <c:noMultiLvlLbl val="0"/>
      </c:catAx>
      <c:valAx>
        <c:axId val="3329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29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25'!$C$20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25'!$C$21:$C$32</c:f>
              <c:numCache>
                <c:formatCode>#,##0.0000</c:formatCode>
                <c:ptCount val="12"/>
                <c:pt idx="0">
                  <c:v>0.19390157971683653</c:v>
                </c:pt>
                <c:pt idx="1">
                  <c:v>0.20126572852767158</c:v>
                </c:pt>
                <c:pt idx="2">
                  <c:v>0.21822593349548383</c:v>
                </c:pt>
                <c:pt idx="3">
                  <c:v>0.18570685492702035</c:v>
                </c:pt>
                <c:pt idx="4">
                  <c:v>0.17983603411111754</c:v>
                </c:pt>
                <c:pt idx="5">
                  <c:v>0.17824124366241628</c:v>
                </c:pt>
                <c:pt idx="6">
                  <c:v>0.16643266174923055</c:v>
                </c:pt>
                <c:pt idx="7">
                  <c:v>0.15704280169545826</c:v>
                </c:pt>
                <c:pt idx="8">
                  <c:v>0.18784039556671361</c:v>
                </c:pt>
                <c:pt idx="9">
                  <c:v>0.17885624097389069</c:v>
                </c:pt>
                <c:pt idx="10">
                  <c:v>0.16511129542060646</c:v>
                </c:pt>
                <c:pt idx="11">
                  <c:v>0.19037906205291999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B-4EA1-A8E7-2FE2D4000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177360"/>
        <c:axId val="2072781312"/>
      </c:lineChart>
      <c:catAx>
        <c:axId val="32617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2781312"/>
        <c:crosses val="autoZero"/>
        <c:auto val="1"/>
        <c:lblAlgn val="ctr"/>
        <c:lblOffset val="100"/>
        <c:noMultiLvlLbl val="0"/>
      </c:catAx>
      <c:valAx>
        <c:axId val="207278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61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25'!$K$20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25'!$J$21:$J$32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25'!$K$21:$K$32</c:f>
              <c:numCache>
                <c:formatCode>#,##0.0000</c:formatCode>
                <c:ptCount val="12"/>
                <c:pt idx="0">
                  <c:v>0.43455354260013046</c:v>
                </c:pt>
                <c:pt idx="1">
                  <c:v>0.17111083222337128</c:v>
                </c:pt>
                <c:pt idx="2">
                  <c:v>0.17264442411128578</c:v>
                </c:pt>
                <c:pt idx="3">
                  <c:v>0.18239516387826435</c:v>
                </c:pt>
                <c:pt idx="4">
                  <c:v>0.17798518463630572</c:v>
                </c:pt>
                <c:pt idx="5">
                  <c:v>0.18185466493076674</c:v>
                </c:pt>
                <c:pt idx="6">
                  <c:v>0.15536613417190775</c:v>
                </c:pt>
                <c:pt idx="7">
                  <c:v>0.18719299647899404</c:v>
                </c:pt>
                <c:pt idx="8">
                  <c:v>0.17533992927958966</c:v>
                </c:pt>
                <c:pt idx="9">
                  <c:v>0.16407674021008434</c:v>
                </c:pt>
                <c:pt idx="10">
                  <c:v>0.1577858588934177</c:v>
                </c:pt>
                <c:pt idx="11">
                  <c:v>0.19612002433177572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1-417A-9150-7CB087220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783808"/>
        <c:axId val="2072784224"/>
      </c:lineChart>
      <c:catAx>
        <c:axId val="207278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2784224"/>
        <c:crosses val="autoZero"/>
        <c:auto val="1"/>
        <c:lblAlgn val="ctr"/>
        <c:lblOffset val="100"/>
        <c:noMultiLvlLbl val="0"/>
      </c:catAx>
      <c:valAx>
        <c:axId val="207278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278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25'!$S$20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25'!$R$21:$R$32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25'!$S$21:$S$32</c:f>
              <c:numCache>
                <c:formatCode>#,##0.0000</c:formatCode>
                <c:ptCount val="12"/>
                <c:pt idx="0">
                  <c:v>0.26404192541390664</c:v>
                </c:pt>
                <c:pt idx="1">
                  <c:v>0.18466735806042772</c:v>
                </c:pt>
                <c:pt idx="2">
                  <c:v>0.19347572536404506</c:v>
                </c:pt>
                <c:pt idx="3">
                  <c:v>0.18436979524949698</c:v>
                </c:pt>
                <c:pt idx="4">
                  <c:v>0.17511192728750541</c:v>
                </c:pt>
                <c:pt idx="5">
                  <c:v>0.17959589660026509</c:v>
                </c:pt>
                <c:pt idx="6">
                  <c:v>0.16197060163382235</c:v>
                </c:pt>
                <c:pt idx="7">
                  <c:v>0.16804530453297692</c:v>
                </c:pt>
                <c:pt idx="8">
                  <c:v>0.17640160877231326</c:v>
                </c:pt>
                <c:pt idx="9">
                  <c:v>0.17252718810642725</c:v>
                </c:pt>
                <c:pt idx="10">
                  <c:v>0.16218895983955239</c:v>
                </c:pt>
                <c:pt idx="11">
                  <c:v>0.19257568799090677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B-429A-A3BF-1BC56FF7C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325024"/>
        <c:axId val="268324192"/>
      </c:lineChart>
      <c:catAx>
        <c:axId val="2683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8324192"/>
        <c:crosses val="autoZero"/>
        <c:auto val="1"/>
        <c:lblAlgn val="ctr"/>
        <c:lblOffset val="100"/>
        <c:noMultiLvlLbl val="0"/>
      </c:catAx>
      <c:valAx>
        <c:axId val="2683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83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25'!$C$36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25'!$C$37:$C$48</c:f>
              <c:numCache>
                <c:formatCode>#,##0.0000</c:formatCode>
                <c:ptCount val="12"/>
                <c:pt idx="0">
                  <c:v>7.8664716692955008E-2</c:v>
                </c:pt>
                <c:pt idx="1">
                  <c:v>7.7632636631371293E-2</c:v>
                </c:pt>
                <c:pt idx="2">
                  <c:v>7.8092985653231042E-2</c:v>
                </c:pt>
                <c:pt idx="3">
                  <c:v>2.6172681867048467E-2</c:v>
                </c:pt>
                <c:pt idx="4">
                  <c:v>1.6337021409997491E-2</c:v>
                </c:pt>
                <c:pt idx="5">
                  <c:v>1.8753829658309087E-2</c:v>
                </c:pt>
                <c:pt idx="6">
                  <c:v>1.6694186822261491E-2</c:v>
                </c:pt>
                <c:pt idx="7">
                  <c:v>1.4470180490564798E-2</c:v>
                </c:pt>
                <c:pt idx="8">
                  <c:v>1.9110283816613557E-2</c:v>
                </c:pt>
                <c:pt idx="9">
                  <c:v>1.8178271406164535E-2</c:v>
                </c:pt>
                <c:pt idx="10">
                  <c:v>2.8316889573949195E-2</c:v>
                </c:pt>
                <c:pt idx="11">
                  <c:v>3.5299668559669747E-2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1-4FF3-87DA-3FEFDEFF7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396160"/>
        <c:axId val="330396992"/>
      </c:lineChart>
      <c:catAx>
        <c:axId val="33039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0396992"/>
        <c:crosses val="autoZero"/>
        <c:auto val="1"/>
        <c:lblAlgn val="ctr"/>
        <c:lblOffset val="100"/>
        <c:noMultiLvlLbl val="0"/>
      </c:catAx>
      <c:valAx>
        <c:axId val="33039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039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25'!$K$36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25'!$J$37:$J$48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25'!$K$37:$K$48</c:f>
              <c:numCache>
                <c:formatCode>#,##0.0000</c:formatCode>
                <c:ptCount val="12"/>
                <c:pt idx="0">
                  <c:v>0.10617242579333636</c:v>
                </c:pt>
                <c:pt idx="1">
                  <c:v>0.26025528316053964</c:v>
                </c:pt>
                <c:pt idx="2">
                  <c:v>0.20851244352645601</c:v>
                </c:pt>
                <c:pt idx="3">
                  <c:v>9.2147033429192796E-2</c:v>
                </c:pt>
                <c:pt idx="4">
                  <c:v>6.279319211044157E-2</c:v>
                </c:pt>
                <c:pt idx="5">
                  <c:v>7.5831357419393453E-2</c:v>
                </c:pt>
                <c:pt idx="6">
                  <c:v>7.5817328981923698E-2</c:v>
                </c:pt>
                <c:pt idx="7">
                  <c:v>5.7074308610161897E-2</c:v>
                </c:pt>
                <c:pt idx="8">
                  <c:v>8.4039988471957164E-2</c:v>
                </c:pt>
                <c:pt idx="9">
                  <c:v>6.5166711382850365E-2</c:v>
                </c:pt>
                <c:pt idx="10">
                  <c:v>7.9267420151653029E-2</c:v>
                </c:pt>
                <c:pt idx="11">
                  <c:v>7.6763400202547183E-2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B-4017-9D8D-DE2C1985E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396576"/>
        <c:axId val="330394080"/>
      </c:lineChart>
      <c:catAx>
        <c:axId val="33039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0394080"/>
        <c:crosses val="autoZero"/>
        <c:auto val="1"/>
        <c:lblAlgn val="ctr"/>
        <c:lblOffset val="100"/>
        <c:noMultiLvlLbl val="0"/>
      </c:catAx>
      <c:valAx>
        <c:axId val="3303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039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25'!$S$36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25'!$R$37:$R$48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25'!$S$37:$S$48</c:f>
              <c:numCache>
                <c:formatCode>#,##0.0000</c:formatCode>
                <c:ptCount val="12"/>
                <c:pt idx="0">
                  <c:v>8.9828333562978341E-2</c:v>
                </c:pt>
                <c:pt idx="1">
                  <c:v>0.12090247159226138</c:v>
                </c:pt>
                <c:pt idx="2">
                  <c:v>0.11205100989500631</c:v>
                </c:pt>
                <c:pt idx="3">
                  <c:v>3.6654803371845082E-2</c:v>
                </c:pt>
                <c:pt idx="4">
                  <c:v>2.25034173909219E-2</c:v>
                </c:pt>
                <c:pt idx="5">
                  <c:v>2.6255889953813581E-2</c:v>
                </c:pt>
                <c:pt idx="6">
                  <c:v>2.390351999973853E-2</c:v>
                </c:pt>
                <c:pt idx="7">
                  <c:v>2.077383249039437E-2</c:v>
                </c:pt>
                <c:pt idx="8">
                  <c:v>2.654128442857414E-2</c:v>
                </c:pt>
                <c:pt idx="9">
                  <c:v>2.5735591321762012E-2</c:v>
                </c:pt>
                <c:pt idx="10">
                  <c:v>3.7728585171737723E-2</c:v>
                </c:pt>
                <c:pt idx="11">
                  <c:v>4.4710159896370623E-2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C-4953-8399-0293B20E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7632"/>
        <c:axId val="2079298464"/>
      </c:lineChart>
      <c:catAx>
        <c:axId val="20792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9298464"/>
        <c:crosses val="autoZero"/>
        <c:auto val="1"/>
        <c:lblAlgn val="ctr"/>
        <c:lblOffset val="100"/>
        <c:noMultiLvlLbl val="0"/>
      </c:catAx>
      <c:valAx>
        <c:axId val="20792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929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7388167388167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26'!$C$4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26'!$C$5:$C$16</c:f>
              <c:numCache>
                <c:formatCode>#,##0</c:formatCode>
                <c:ptCount val="12"/>
                <c:pt idx="0">
                  <c:v>256925</c:v>
                </c:pt>
                <c:pt idx="1">
                  <c:v>438288</c:v>
                </c:pt>
                <c:pt idx="2">
                  <c:v>444947</c:v>
                </c:pt>
                <c:pt idx="3">
                  <c:v>362382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2-4A80-9BF3-E90233097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835744"/>
        <c:axId val="328832416"/>
      </c:lineChart>
      <c:catAx>
        <c:axId val="3288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832416"/>
        <c:crosses val="autoZero"/>
        <c:auto val="1"/>
        <c:lblAlgn val="ctr"/>
        <c:lblOffset val="100"/>
        <c:noMultiLvlLbl val="0"/>
      </c:catAx>
      <c:valAx>
        <c:axId val="3288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8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26'!$C$20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26'!$B$21:$B$32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26'!$C$21:$C$32</c:f>
              <c:numCache>
                <c:formatCode>#,##0.0000</c:formatCode>
                <c:ptCount val="12"/>
                <c:pt idx="0">
                  <c:v>0.22878344682234089</c:v>
                </c:pt>
                <c:pt idx="1">
                  <c:v>0.17465093047846131</c:v>
                </c:pt>
                <c:pt idx="2">
                  <c:v>0.17616069586911773</c:v>
                </c:pt>
                <c:pt idx="3">
                  <c:v>0.20003125577439093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0-44D5-911B-360290AA6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325024"/>
        <c:axId val="268324192"/>
      </c:lineChart>
      <c:catAx>
        <c:axId val="2683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8324192"/>
        <c:crosses val="autoZero"/>
        <c:auto val="1"/>
        <c:lblAlgn val="ctr"/>
        <c:lblOffset val="100"/>
        <c:noMultiLvlLbl val="0"/>
      </c:catAx>
      <c:valAx>
        <c:axId val="2683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83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26'!$C$36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26'!$B$37:$B$48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26'!$C$37:$C$48</c:f>
              <c:numCache>
                <c:formatCode>#,##0.0000</c:formatCode>
                <c:ptCount val="12"/>
                <c:pt idx="0">
                  <c:v>4.9233678371281675E-2</c:v>
                </c:pt>
                <c:pt idx="1">
                  <c:v>5.7497030797477297E-2</c:v>
                </c:pt>
                <c:pt idx="2">
                  <c:v>4.3812445198162998E-2</c:v>
                </c:pt>
                <c:pt idx="3">
                  <c:v>5.0101447748498833E-2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6-4978-9AC0-37EF896C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7632"/>
        <c:axId val="2079298464"/>
      </c:lineChart>
      <c:catAx>
        <c:axId val="20792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9298464"/>
        <c:crosses val="autoZero"/>
        <c:auto val="1"/>
        <c:lblAlgn val="ctr"/>
        <c:lblOffset val="100"/>
        <c:noMultiLvlLbl val="0"/>
      </c:catAx>
      <c:valAx>
        <c:axId val="20792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929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22</xdr:row>
      <xdr:rowOff>38100</xdr:rowOff>
    </xdr:from>
    <xdr:to>
      <xdr:col>5</xdr:col>
      <xdr:colOff>742951</xdr:colOff>
      <xdr:row>36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22</xdr:row>
      <xdr:rowOff>38100</xdr:rowOff>
    </xdr:from>
    <xdr:to>
      <xdr:col>11</xdr:col>
      <xdr:colOff>219075</xdr:colOff>
      <xdr:row>36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361950</xdr:colOff>
      <xdr:row>22</xdr:row>
      <xdr:rowOff>19049</xdr:rowOff>
    </xdr:from>
    <xdr:to>
      <xdr:col>16</xdr:col>
      <xdr:colOff>714374</xdr:colOff>
      <xdr:row>36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9525</xdr:rowOff>
    </xdr:from>
    <xdr:to>
      <xdr:col>10</xdr:col>
      <xdr:colOff>114300</xdr:colOff>
      <xdr:row>16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19</xdr:row>
      <xdr:rowOff>19049</xdr:rowOff>
    </xdr:from>
    <xdr:to>
      <xdr:col>10</xdr:col>
      <xdr:colOff>123825</xdr:colOff>
      <xdr:row>32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219075</xdr:colOff>
      <xdr:row>34</xdr:row>
      <xdr:rowOff>228599</xdr:rowOff>
    </xdr:from>
    <xdr:to>
      <xdr:col>10</xdr:col>
      <xdr:colOff>114300</xdr:colOff>
      <xdr:row>48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200024</xdr:colOff>
      <xdr:row>18</xdr:row>
      <xdr:rowOff>228599</xdr:rowOff>
    </xdr:from>
    <xdr:to>
      <xdr:col>20</xdr:col>
      <xdr:colOff>19049</xdr:colOff>
      <xdr:row>31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190499</xdr:colOff>
      <xdr:row>33</xdr:row>
      <xdr:rowOff>180975</xdr:rowOff>
    </xdr:from>
    <xdr:to>
      <xdr:col>20</xdr:col>
      <xdr:colOff>38100</xdr:colOff>
      <xdr:row>48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228600</xdr:colOff>
      <xdr:row>2</xdr:row>
      <xdr:rowOff>9525</xdr:rowOff>
    </xdr:from>
    <xdr:to>
      <xdr:col>20</xdr:col>
      <xdr:colOff>114300</xdr:colOff>
      <xdr:row>16</xdr:row>
      <xdr:rowOff>104775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219076</xdr:colOff>
      <xdr:row>2</xdr:row>
      <xdr:rowOff>9525</xdr:rowOff>
    </xdr:from>
    <xdr:to>
      <xdr:col>10</xdr:col>
      <xdr:colOff>742951</xdr:colOff>
      <xdr:row>16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19</xdr:row>
      <xdr:rowOff>47625</xdr:rowOff>
    </xdr:from>
    <xdr:to>
      <xdr:col>10</xdr:col>
      <xdr:colOff>733426</xdr:colOff>
      <xdr:row>32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384810</xdr:colOff>
      <xdr:row>35</xdr:row>
      <xdr:rowOff>106680</xdr:rowOff>
    </xdr:from>
    <xdr:to>
      <xdr:col>11</xdr:col>
      <xdr:colOff>49529</xdr:colOff>
      <xdr:row>48</xdr:row>
      <xdr:rowOff>68579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47625</xdr:rowOff>
    </xdr:from>
    <xdr:to>
      <xdr:col>16</xdr:col>
      <xdr:colOff>552450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85725</xdr:colOff>
      <xdr:row>3</xdr:row>
      <xdr:rowOff>38100</xdr:rowOff>
    </xdr:from>
    <xdr:to>
      <xdr:col>24</xdr:col>
      <xdr:colOff>676275</xdr:colOff>
      <xdr:row>16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</xdr:row>
      <xdr:rowOff>0</xdr:rowOff>
    </xdr:from>
    <xdr:to>
      <xdr:col>8</xdr:col>
      <xdr:colOff>685800</xdr:colOff>
      <xdr:row>15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114300</xdr:colOff>
      <xdr:row>19</xdr:row>
      <xdr:rowOff>28576</xdr:rowOff>
    </xdr:from>
    <xdr:to>
      <xdr:col>8</xdr:col>
      <xdr:colOff>676275</xdr:colOff>
      <xdr:row>32</xdr:row>
      <xdr:rowOff>9526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19050</xdr:colOff>
      <xdr:row>19</xdr:row>
      <xdr:rowOff>47624</xdr:rowOff>
    </xdr:from>
    <xdr:to>
      <xdr:col>16</xdr:col>
      <xdr:colOff>590550</xdr:colOff>
      <xdr:row>32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57150</xdr:colOff>
      <xdr:row>19</xdr:row>
      <xdr:rowOff>57150</xdr:rowOff>
    </xdr:from>
    <xdr:to>
      <xdr:col>24</xdr:col>
      <xdr:colOff>628650</xdr:colOff>
      <xdr:row>31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95250</xdr:colOff>
      <xdr:row>35</xdr:row>
      <xdr:rowOff>76199</xdr:rowOff>
    </xdr:from>
    <xdr:to>
      <xdr:col>8</xdr:col>
      <xdr:colOff>704850</xdr:colOff>
      <xdr:row>47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24764</xdr:colOff>
      <xdr:row>35</xdr:row>
      <xdr:rowOff>57150</xdr:rowOff>
    </xdr:from>
    <xdr:to>
      <xdr:col>16</xdr:col>
      <xdr:colOff>586739</xdr:colOff>
      <xdr:row>47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152399</xdr:colOff>
      <xdr:row>34</xdr:row>
      <xdr:rowOff>238124</xdr:rowOff>
    </xdr:from>
    <xdr:to>
      <xdr:col>24</xdr:col>
      <xdr:colOff>619124</xdr:colOff>
      <xdr:row>47</xdr:row>
      <xdr:rowOff>142874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3</xdr:row>
      <xdr:rowOff>38100</xdr:rowOff>
    </xdr:from>
    <xdr:to>
      <xdr:col>8</xdr:col>
      <xdr:colOff>676275</xdr:colOff>
      <xdr:row>16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248653-5F81-457D-9E08-BBC925844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19</xdr:row>
      <xdr:rowOff>57150</xdr:rowOff>
    </xdr:from>
    <xdr:to>
      <xdr:col>8</xdr:col>
      <xdr:colOff>628650</xdr:colOff>
      <xdr:row>31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88ECCD-0054-4079-8D35-7ECE13F9B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152399</xdr:colOff>
      <xdr:row>34</xdr:row>
      <xdr:rowOff>238124</xdr:rowOff>
    </xdr:from>
    <xdr:to>
      <xdr:col>8</xdr:col>
      <xdr:colOff>619124</xdr:colOff>
      <xdr:row>47</xdr:row>
      <xdr:rowOff>142874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DB3F086-C121-43BA-B42C-75511A220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2"/>
  <sheetViews>
    <sheetView topLeftCell="B1" workbookViewId="0">
      <selection activeCell="G21" sqref="G21"/>
    </sheetView>
  </sheetViews>
  <sheetFormatPr baseColWidth="10" defaultRowHeight="14.4" x14ac:dyDescent="0.3"/>
  <cols>
    <col min="1" max="1" width="3.6640625" customWidth="1"/>
    <col min="3" max="3" width="11.88671875" bestFit="1" customWidth="1"/>
    <col min="4" max="4" width="11.88671875" customWidth="1"/>
    <col min="10" max="10" width="14.5546875" customWidth="1"/>
  </cols>
  <sheetData>
    <row r="2" spans="2:15" ht="18" x14ac:dyDescent="0.35">
      <c r="C2" s="73" t="s">
        <v>57</v>
      </c>
    </row>
    <row r="3" spans="2:15" x14ac:dyDescent="0.3">
      <c r="C3" s="1" t="s">
        <v>55</v>
      </c>
    </row>
    <row r="4" spans="2:15" x14ac:dyDescent="0.3">
      <c r="L4" t="s">
        <v>63</v>
      </c>
    </row>
    <row r="5" spans="2:15" x14ac:dyDescent="0.3">
      <c r="C5" s="70" t="s">
        <v>44</v>
      </c>
      <c r="D5" s="71" t="s">
        <v>54</v>
      </c>
      <c r="E5" s="70" t="s">
        <v>45</v>
      </c>
      <c r="F5" s="71" t="s">
        <v>54</v>
      </c>
      <c r="G5" s="70" t="s">
        <v>46</v>
      </c>
      <c r="H5" s="71" t="s">
        <v>54</v>
      </c>
      <c r="L5" s="70" t="s">
        <v>44</v>
      </c>
      <c r="M5" s="70" t="s">
        <v>45</v>
      </c>
      <c r="N5" s="70" t="s">
        <v>46</v>
      </c>
    </row>
    <row r="6" spans="2:15" x14ac:dyDescent="0.3">
      <c r="B6" s="89">
        <v>2023</v>
      </c>
      <c r="C6" s="66">
        <f>datos23!G56</f>
        <v>9.8000566953989968E-2</v>
      </c>
      <c r="D6" s="68"/>
      <c r="E6" s="66">
        <f>datos23!I56</f>
        <v>1.7020672370086636E-2</v>
      </c>
      <c r="F6" s="68"/>
      <c r="G6" s="66">
        <f>datos23!J56</f>
        <v>0.16541383996975736</v>
      </c>
      <c r="H6" s="68"/>
      <c r="I6" s="72" t="s">
        <v>48</v>
      </c>
      <c r="K6" s="89">
        <v>2023</v>
      </c>
      <c r="L6" s="66">
        <f>C6</f>
        <v>9.8000566953989968E-2</v>
      </c>
      <c r="M6" s="66">
        <f>E6</f>
        <v>1.7020672370086636E-2</v>
      </c>
      <c r="N6" s="66">
        <f>G6</f>
        <v>0.16541383996975736</v>
      </c>
    </row>
    <row r="7" spans="2:15" x14ac:dyDescent="0.3">
      <c r="B7" s="89">
        <v>2024</v>
      </c>
      <c r="C7" s="66">
        <f>datos24!G56</f>
        <v>0.16341625007227217</v>
      </c>
      <c r="D7" s="69">
        <f>(C7-C6)/C6*100</f>
        <v>66.750310892582945</v>
      </c>
      <c r="E7" s="66">
        <f>datos24!I56</f>
        <v>2.306119094195239E-2</v>
      </c>
      <c r="F7" s="69">
        <f>(E7-E6)/E6*100</f>
        <v>35.489306418245846</v>
      </c>
      <c r="G7" s="66">
        <f>datos24!J56</f>
        <v>0.13333578584479783</v>
      </c>
      <c r="H7" s="69">
        <f>(G7-G6)/G6*100</f>
        <v>-19.392605921502319</v>
      </c>
      <c r="K7" s="89">
        <v>2024</v>
      </c>
      <c r="L7" s="66">
        <f>C7</f>
        <v>0.16341625007227217</v>
      </c>
      <c r="M7" s="66">
        <f>E7</f>
        <v>2.306119094195239E-2</v>
      </c>
      <c r="N7" s="66">
        <v>0.1633</v>
      </c>
    </row>
    <row r="8" spans="2:15" x14ac:dyDescent="0.3">
      <c r="B8" s="21">
        <v>2025</v>
      </c>
      <c r="C8" s="66">
        <f>datos25!G56</f>
        <v>0.18298167824586045</v>
      </c>
      <c r="D8" s="69">
        <f>(C8-C7)/C7*100</f>
        <v>11.972755564355019</v>
      </c>
      <c r="E8" s="66">
        <f>datos25!I56</f>
        <v>3.337850524082555E-2</v>
      </c>
      <c r="F8" s="69">
        <f>(E8-E7)/E7*100</f>
        <v>44.738861600179277</v>
      </c>
      <c r="G8" s="66">
        <f>datos25!J56</f>
        <v>0.16644184648321675</v>
      </c>
      <c r="H8" s="69">
        <f>(G8-G7)/G7*100</f>
        <v>24.829088776627607</v>
      </c>
      <c r="I8" s="67"/>
      <c r="K8" s="21">
        <v>2025</v>
      </c>
      <c r="L8" s="66">
        <f>C8</f>
        <v>0.18298167824586045</v>
      </c>
      <c r="M8" s="66">
        <f>E8</f>
        <v>3.337850524082555E-2</v>
      </c>
      <c r="N8" s="66">
        <f>G8</f>
        <v>0.16644184648321675</v>
      </c>
      <c r="O8" s="108"/>
    </row>
    <row r="9" spans="2:15" x14ac:dyDescent="0.3">
      <c r="B9" s="21">
        <v>2026</v>
      </c>
      <c r="C9" s="66">
        <f>datos26!G56</f>
        <v>0.19261062726482547</v>
      </c>
      <c r="D9" s="69">
        <f>(C9-C8)/C8*100</f>
        <v>5.262247625703397</v>
      </c>
      <c r="E9" s="66">
        <f>datos26!I56</f>
        <v>4.9677681328125077E-2</v>
      </c>
      <c r="F9" s="69">
        <f>(E9-E8)/E8*100</f>
        <v>48.831354099595387</v>
      </c>
      <c r="G9" s="66">
        <f>datos26!J56</f>
        <v>0.26080872224135443</v>
      </c>
      <c r="H9" s="69">
        <f>(G9-G8)/G8*100</f>
        <v>56.696604701302213</v>
      </c>
      <c r="I9" s="67"/>
      <c r="K9" s="21">
        <v>2026</v>
      </c>
      <c r="L9" s="66">
        <f>C9</f>
        <v>0.19261062726482547</v>
      </c>
      <c r="M9" s="66">
        <f>E9</f>
        <v>4.9677681328125077E-2</v>
      </c>
      <c r="N9" s="66">
        <f>G9</f>
        <v>0.26080872224135443</v>
      </c>
      <c r="O9" s="108"/>
    </row>
    <row r="11" spans="2:15" x14ac:dyDescent="0.3">
      <c r="C11" s="70" t="s">
        <v>44</v>
      </c>
      <c r="D11" s="71" t="s">
        <v>54</v>
      </c>
      <c r="E11" s="70" t="s">
        <v>45</v>
      </c>
      <c r="F11" s="71" t="s">
        <v>54</v>
      </c>
      <c r="G11" s="70" t="s">
        <v>46</v>
      </c>
      <c r="H11" s="71" t="s">
        <v>54</v>
      </c>
      <c r="L11" s="70" t="s">
        <v>44</v>
      </c>
      <c r="M11" s="70" t="s">
        <v>45</v>
      </c>
      <c r="N11" s="70" t="s">
        <v>46</v>
      </c>
    </row>
    <row r="12" spans="2:15" x14ac:dyDescent="0.3">
      <c r="B12" s="89">
        <v>2023</v>
      </c>
      <c r="C12" s="66">
        <f>datos23!G19</f>
        <v>8.4701111535063961E-2</v>
      </c>
      <c r="D12" s="68"/>
      <c r="E12" s="66">
        <f>datos23!I19</f>
        <v>1.3540315833292958E-2</v>
      </c>
      <c r="F12" s="68"/>
      <c r="G12" s="66">
        <f>datos23!J19</f>
        <v>0.14423042190160257</v>
      </c>
      <c r="H12" s="68"/>
      <c r="I12" s="72" t="s">
        <v>49</v>
      </c>
      <c r="K12" s="89">
        <v>2023</v>
      </c>
      <c r="L12" s="66">
        <f>C12</f>
        <v>8.4701111535063961E-2</v>
      </c>
      <c r="M12" s="66">
        <f>E12</f>
        <v>1.3540315833292958E-2</v>
      </c>
      <c r="N12" s="66">
        <f>G12</f>
        <v>0.14423042190160257</v>
      </c>
    </row>
    <row r="13" spans="2:15" x14ac:dyDescent="0.3">
      <c r="B13" s="89">
        <v>2024</v>
      </c>
      <c r="C13" s="66">
        <f>datos24!G19</f>
        <v>0.13337968242330456</v>
      </c>
      <c r="D13" s="69">
        <f>(C13-C12)/C12*100</f>
        <v>57.470994188888525</v>
      </c>
      <c r="E13" s="66">
        <f>datos24!I19</f>
        <v>1.8826241238455849E-2</v>
      </c>
      <c r="F13" s="69">
        <f>(E13-E12)/E12*100</f>
        <v>39.038420301584445</v>
      </c>
      <c r="G13" s="66">
        <f>datos24!J19</f>
        <v>0.13266517096499078</v>
      </c>
      <c r="H13" s="69">
        <f>(G13-G12)/G12*100</f>
        <v>-8.0185932926840344</v>
      </c>
      <c r="K13" s="89">
        <v>2024</v>
      </c>
      <c r="L13" s="66">
        <f>C13</f>
        <v>0.13337968242330456</v>
      </c>
      <c r="M13" s="66">
        <f>E13</f>
        <v>1.8826241238455849E-2</v>
      </c>
      <c r="N13" s="66">
        <f>G13</f>
        <v>0.13266517096499078</v>
      </c>
    </row>
    <row r="14" spans="2:15" x14ac:dyDescent="0.3">
      <c r="B14" s="21">
        <v>2025</v>
      </c>
      <c r="C14" s="66">
        <f>datos25!G19</f>
        <v>0.18231924989933537</v>
      </c>
      <c r="D14" s="69">
        <f>(C14-C13)/C13*100</f>
        <v>36.691920828475389</v>
      </c>
      <c r="E14" s="66">
        <f>datos25!I19</f>
        <v>2.3351890954673906E-2</v>
      </c>
      <c r="F14" s="69">
        <f>(E14-E13)/E13*100</f>
        <v>24.039050912476547</v>
      </c>
      <c r="G14" s="66">
        <f>datos25!J19</f>
        <v>0.11585072015162463</v>
      </c>
      <c r="H14" s="69">
        <f>(G14-G13)/G13*100</f>
        <v>-12.67435204813729</v>
      </c>
      <c r="I14" s="67"/>
      <c r="K14" s="89">
        <v>2025</v>
      </c>
      <c r="L14" s="66">
        <f>C14</f>
        <v>0.18231924989933537</v>
      </c>
      <c r="M14" s="66">
        <f>E14</f>
        <v>2.3351890954673906E-2</v>
      </c>
      <c r="N14" s="66">
        <f>G14</f>
        <v>0.11585072015162463</v>
      </c>
    </row>
    <row r="15" spans="2:15" x14ac:dyDescent="0.3">
      <c r="B15" s="21">
        <v>2026</v>
      </c>
      <c r="C15" s="66">
        <f>datos26!G19</f>
        <v>0.1849875939748854</v>
      </c>
      <c r="D15" s="69">
        <f>(C15-C14)/C14*100</f>
        <v>1.4635558653424203</v>
      </c>
      <c r="E15" s="66">
        <f>datos26!I19</f>
        <v>4.3645391328257427E-2</v>
      </c>
      <c r="F15" s="69">
        <f>(E15-E14)/E14*100</f>
        <v>86.903028165784391</v>
      </c>
      <c r="G15" s="66">
        <f>datos26!J19</f>
        <v>0.2381450275233766</v>
      </c>
      <c r="H15" s="69">
        <f>(G15-G14)/G14*100</f>
        <v>105.56197424728479</v>
      </c>
      <c r="I15" s="67"/>
      <c r="K15" s="89">
        <v>2026</v>
      </c>
      <c r="L15" s="66">
        <f>C15</f>
        <v>0.1849875939748854</v>
      </c>
      <c r="M15" s="66">
        <f>E15</f>
        <v>4.3645391328257427E-2</v>
      </c>
      <c r="N15" s="66">
        <f>G15</f>
        <v>0.2381450275233766</v>
      </c>
    </row>
    <row r="16" spans="2:15" x14ac:dyDescent="0.3">
      <c r="K16" s="113"/>
    </row>
    <row r="17" spans="2:14" x14ac:dyDescent="0.3">
      <c r="C17" s="70" t="s">
        <v>44</v>
      </c>
      <c r="D17" s="71" t="s">
        <v>54</v>
      </c>
      <c r="E17" s="70" t="s">
        <v>47</v>
      </c>
      <c r="F17" s="71" t="s">
        <v>54</v>
      </c>
      <c r="G17" s="70" t="s">
        <v>56</v>
      </c>
      <c r="H17" s="71" t="s">
        <v>54</v>
      </c>
      <c r="K17" s="113"/>
      <c r="L17" s="70" t="s">
        <v>44</v>
      </c>
      <c r="M17" s="70" t="s">
        <v>47</v>
      </c>
      <c r="N17" s="70" t="s">
        <v>56</v>
      </c>
    </row>
    <row r="18" spans="2:14" x14ac:dyDescent="0.3">
      <c r="B18" s="89">
        <v>2023</v>
      </c>
      <c r="C18" s="66">
        <f>datos23!G37</f>
        <v>1.012066245774375</v>
      </c>
      <c r="D18" s="68"/>
      <c r="E18" s="66">
        <f>datos23!I37</f>
        <v>0.58745940520972517</v>
      </c>
      <c r="F18" s="68"/>
      <c r="G18" s="66">
        <f>datos23!J37</f>
        <v>1.2046941530792399</v>
      </c>
      <c r="H18" s="68"/>
      <c r="I18" s="72" t="s">
        <v>50</v>
      </c>
      <c r="K18" s="89">
        <v>2023</v>
      </c>
      <c r="L18" s="66">
        <f>C18</f>
        <v>1.012066245774375</v>
      </c>
      <c r="M18" s="66">
        <f>E18</f>
        <v>0.58745940520972517</v>
      </c>
      <c r="N18" s="66">
        <f>G18</f>
        <v>1.2046941530792399</v>
      </c>
    </row>
    <row r="19" spans="2:14" x14ac:dyDescent="0.3">
      <c r="B19" s="89">
        <v>2024</v>
      </c>
      <c r="C19" s="66">
        <f>datos24!G37</f>
        <v>3.0574800654127037</v>
      </c>
      <c r="D19" s="69">
        <f>(C19-C18)/C18*100</f>
        <v>202.10276038534371</v>
      </c>
      <c r="E19" s="66">
        <f>datos24!I37</f>
        <v>0.73639433480460237</v>
      </c>
      <c r="F19" s="69">
        <f>(E19-E18)/E18*100</f>
        <v>25.352378100356887</v>
      </c>
      <c r="G19" s="66">
        <f>datos24!J37</f>
        <v>0.24235060535313435</v>
      </c>
      <c r="H19" s="69">
        <f>(G19-G18)/G18*100</f>
        <v>-79.882810526333358</v>
      </c>
      <c r="K19" s="89">
        <v>2024</v>
      </c>
      <c r="L19" s="66">
        <f t="shared" ref="L19:L20" si="0">C19</f>
        <v>3.0574800654127037</v>
      </c>
      <c r="M19" s="66">
        <f t="shared" ref="M19:M20" si="1">E19</f>
        <v>0.73639433480460237</v>
      </c>
      <c r="N19" s="66">
        <f t="shared" ref="N19:N20" si="2">G19</f>
        <v>0.24235060535313435</v>
      </c>
    </row>
    <row r="20" spans="2:14" x14ac:dyDescent="0.3">
      <c r="B20" s="21">
        <v>2025</v>
      </c>
      <c r="C20" s="66">
        <f>datos25!G37</f>
        <v>0.19465288250339402</v>
      </c>
      <c r="D20" s="69">
        <f>(C20-C19)/C19*100</f>
        <v>-93.633551868240247</v>
      </c>
      <c r="E20" s="66">
        <f>datos25!I37</f>
        <v>8.6667204627006486E-2</v>
      </c>
      <c r="F20" s="69">
        <f>(E20-E19)/E19*100</f>
        <v>-88.230870264638426</v>
      </c>
      <c r="G20" s="66">
        <f>datos25!J37</f>
        <v>0.42989244482819727</v>
      </c>
      <c r="H20" s="69">
        <f>(G20-G19)/G19*100</f>
        <v>77.38451455559256</v>
      </c>
      <c r="I20" s="67"/>
      <c r="K20" s="89">
        <v>2025</v>
      </c>
      <c r="L20" s="66">
        <f t="shared" si="0"/>
        <v>0.19465288250339402</v>
      </c>
      <c r="M20" s="66">
        <f t="shared" si="1"/>
        <v>8.6667204627006486E-2</v>
      </c>
      <c r="N20" s="66">
        <f t="shared" si="2"/>
        <v>0.42989244482819727</v>
      </c>
    </row>
    <row r="21" spans="2:14" x14ac:dyDescent="0.3">
      <c r="B21" s="21">
        <v>2026</v>
      </c>
      <c r="C21" s="66">
        <f>datos26!G37</f>
        <v>0.20596598999878934</v>
      </c>
      <c r="D21" s="69">
        <f>(C21-C20)/C20*100</f>
        <v>5.8119393609278127</v>
      </c>
      <c r="E21" s="66">
        <f>datos26!I37</f>
        <v>6.3332858630064548E-2</v>
      </c>
      <c r="F21" s="69">
        <f>(E21-E20)/E20*100</f>
        <v>-26.924078257014294</v>
      </c>
      <c r="G21" s="66">
        <f>datos26!J37</f>
        <v>0.31211208625366244</v>
      </c>
      <c r="H21" s="69">
        <f>(G21-G20)/G20*100</f>
        <v>-27.397633987637239</v>
      </c>
      <c r="I21" s="67"/>
      <c r="K21" s="89">
        <v>2026</v>
      </c>
      <c r="L21" s="66">
        <f t="shared" ref="L21" si="3">C21</f>
        <v>0.20596598999878934</v>
      </c>
      <c r="M21" s="66">
        <f t="shared" ref="M21" si="4">E21</f>
        <v>6.3332858630064548E-2</v>
      </c>
      <c r="N21" s="66">
        <f t="shared" ref="N21" si="5">G21</f>
        <v>0.31211208625366244</v>
      </c>
    </row>
    <row r="22" spans="2:14" x14ac:dyDescent="0.3">
      <c r="K22" s="89"/>
      <c r="L22" s="66"/>
      <c r="M22" s="66"/>
      <c r="N22" s="66"/>
    </row>
  </sheetData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4385-BD81-482E-A474-3BABB185555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56"/>
  <sheetViews>
    <sheetView topLeftCell="A31" workbookViewId="0">
      <selection activeCell="H55" sqref="H55"/>
    </sheetView>
  </sheetViews>
  <sheetFormatPr baseColWidth="10" defaultRowHeight="14.4" x14ac:dyDescent="0.3"/>
  <cols>
    <col min="5" max="5" width="9.5546875" customWidth="1"/>
    <col min="6" max="6" width="9.44140625" customWidth="1"/>
    <col min="7" max="7" width="10.5546875" customWidth="1"/>
    <col min="9" max="9" width="11" customWidth="1"/>
    <col min="10" max="10" width="12.88671875" customWidth="1"/>
    <col min="11" max="11" width="10.6640625" customWidth="1"/>
  </cols>
  <sheetData>
    <row r="2" spans="2:10" x14ac:dyDescent="0.3">
      <c r="B2" s="77" t="s">
        <v>15</v>
      </c>
      <c r="C2" s="78"/>
    </row>
    <row r="3" spans="2:10" x14ac:dyDescent="0.3">
      <c r="B3" s="1" t="s">
        <v>27</v>
      </c>
      <c r="C3" s="2">
        <v>4156946</v>
      </c>
    </row>
    <row r="4" spans="2:10" x14ac:dyDescent="0.3">
      <c r="B4" s="9"/>
      <c r="C4" s="10" t="s">
        <v>7</v>
      </c>
      <c r="D4" s="10" t="s">
        <v>8</v>
      </c>
      <c r="E4" s="10" t="s">
        <v>10</v>
      </c>
      <c r="F4" s="10" t="s">
        <v>9</v>
      </c>
      <c r="G4" s="10" t="s">
        <v>13</v>
      </c>
      <c r="H4" s="10" t="s">
        <v>11</v>
      </c>
      <c r="I4" s="10" t="s">
        <v>12</v>
      </c>
      <c r="J4" s="20" t="s">
        <v>26</v>
      </c>
    </row>
    <row r="5" spans="2:10" x14ac:dyDescent="0.3">
      <c r="B5" s="10" t="s">
        <v>0</v>
      </c>
      <c r="C5" s="11">
        <v>264947</v>
      </c>
      <c r="D5" s="11">
        <v>3594025</v>
      </c>
      <c r="E5" s="12">
        <v>184</v>
      </c>
      <c r="F5" s="11">
        <f>D5/E5</f>
        <v>19532.744565217392</v>
      </c>
      <c r="G5" s="14">
        <f>F5/C5</f>
        <v>7.3723214700364192E-2</v>
      </c>
      <c r="H5" s="11">
        <v>1114850</v>
      </c>
      <c r="I5" s="15">
        <f>F5/H5</f>
        <v>1.752051358049728E-2</v>
      </c>
      <c r="J5" s="22">
        <f>C5/H5</f>
        <v>0.23765259900435037</v>
      </c>
    </row>
    <row r="6" spans="2:10" x14ac:dyDescent="0.3">
      <c r="B6" s="10" t="s">
        <v>1</v>
      </c>
      <c r="C6" s="11">
        <v>517814</v>
      </c>
      <c r="D6" s="11">
        <v>7090953</v>
      </c>
      <c r="E6" s="12">
        <v>204</v>
      </c>
      <c r="F6" s="11">
        <f t="shared" ref="F6:F11" si="0">D6/E6</f>
        <v>34759.573529411762</v>
      </c>
      <c r="G6" s="14">
        <f t="shared" ref="G6:G11" si="1">F6/C6</f>
        <v>6.7127527508742069E-2</v>
      </c>
      <c r="H6" s="11">
        <v>2329571</v>
      </c>
      <c r="I6" s="15">
        <f t="shared" ref="I6:I11" si="2">F6/H6</f>
        <v>1.4921019161644681E-2</v>
      </c>
      <c r="J6" s="22">
        <f t="shared" ref="J6:J16" si="3">C6/H6</f>
        <v>0.22227869423168473</v>
      </c>
    </row>
    <row r="7" spans="2:10" x14ac:dyDescent="0.3">
      <c r="B7" s="10" t="s">
        <v>2</v>
      </c>
      <c r="C7" s="11">
        <v>428057</v>
      </c>
      <c r="D7" s="11">
        <v>6373151</v>
      </c>
      <c r="E7" s="12">
        <v>215</v>
      </c>
      <c r="F7" s="11">
        <f t="shared" si="0"/>
        <v>29642.562790697673</v>
      </c>
      <c r="G7" s="14">
        <f t="shared" si="1"/>
        <v>6.9249101850215447E-2</v>
      </c>
      <c r="H7" s="11">
        <v>1751127</v>
      </c>
      <c r="I7" s="15">
        <f t="shared" si="2"/>
        <v>1.6927705866392143E-2</v>
      </c>
      <c r="J7" s="22">
        <f t="shared" si="3"/>
        <v>0.24444657640479531</v>
      </c>
    </row>
    <row r="8" spans="2:10" x14ac:dyDescent="0.3">
      <c r="B8" s="10" t="s">
        <v>3</v>
      </c>
      <c r="C8" s="11">
        <v>420763</v>
      </c>
      <c r="D8" s="11">
        <v>6573606</v>
      </c>
      <c r="E8" s="12">
        <v>230</v>
      </c>
      <c r="F8" s="11">
        <f t="shared" si="0"/>
        <v>28580.895652173913</v>
      </c>
      <c r="G8" s="14">
        <f t="shared" si="1"/>
        <v>6.79263520133042E-2</v>
      </c>
      <c r="H8" s="11">
        <v>2720075</v>
      </c>
      <c r="I8" s="15">
        <f t="shared" si="2"/>
        <v>1.0507392499167822E-2</v>
      </c>
      <c r="J8" s="22">
        <f t="shared" si="3"/>
        <v>0.1546880141172578</v>
      </c>
    </row>
    <row r="9" spans="2:10" x14ac:dyDescent="0.3">
      <c r="B9" s="10" t="s">
        <v>4</v>
      </c>
      <c r="C9" s="11">
        <v>406760</v>
      </c>
      <c r="D9" s="11">
        <v>9315709</v>
      </c>
      <c r="E9" s="12">
        <v>244</v>
      </c>
      <c r="F9" s="11">
        <f t="shared" si="0"/>
        <v>38179.135245901642</v>
      </c>
      <c r="G9" s="14">
        <f t="shared" si="1"/>
        <v>9.3861577455751896E-2</v>
      </c>
      <c r="H9" s="11">
        <v>1147140</v>
      </c>
      <c r="I9" s="15">
        <f t="shared" si="2"/>
        <v>3.328201897405865E-2</v>
      </c>
      <c r="J9" s="22">
        <f t="shared" si="3"/>
        <v>0.35458618825949756</v>
      </c>
    </row>
    <row r="10" spans="2:10" x14ac:dyDescent="0.3">
      <c r="B10" s="10" t="s">
        <v>5</v>
      </c>
      <c r="C10" s="11">
        <v>396362</v>
      </c>
      <c r="D10" s="11">
        <v>9353226</v>
      </c>
      <c r="E10" s="12">
        <v>257</v>
      </c>
      <c r="F10" s="11">
        <f t="shared" si="0"/>
        <v>36393.875486381323</v>
      </c>
      <c r="G10" s="14">
        <f t="shared" si="1"/>
        <v>9.1819789703304872E-2</v>
      </c>
      <c r="H10" s="11">
        <v>2441754</v>
      </c>
      <c r="I10" s="15">
        <f t="shared" si="2"/>
        <v>1.4904808382163529E-2</v>
      </c>
      <c r="J10" s="22">
        <f t="shared" si="3"/>
        <v>0.16232675363693477</v>
      </c>
    </row>
    <row r="11" spans="2:10" x14ac:dyDescent="0.3">
      <c r="B11" s="10" t="s">
        <v>6</v>
      </c>
      <c r="C11" s="11">
        <v>500485</v>
      </c>
      <c r="D11" s="11">
        <v>12304968</v>
      </c>
      <c r="E11" s="12">
        <v>286</v>
      </c>
      <c r="F11" s="11">
        <f t="shared" si="0"/>
        <v>43024.36363636364</v>
      </c>
      <c r="G11" s="14">
        <f t="shared" si="1"/>
        <v>8.5965340892061981E-2</v>
      </c>
      <c r="H11" s="11">
        <v>2751160</v>
      </c>
      <c r="I11" s="15">
        <f t="shared" si="2"/>
        <v>1.5638626483506463E-2</v>
      </c>
      <c r="J11" s="22">
        <f t="shared" si="3"/>
        <v>0.18191780921502201</v>
      </c>
    </row>
    <row r="12" spans="2:10" x14ac:dyDescent="0.3">
      <c r="B12" s="10" t="s">
        <v>16</v>
      </c>
      <c r="C12" s="11">
        <v>479515</v>
      </c>
      <c r="D12" s="11">
        <v>14203388</v>
      </c>
      <c r="E12" s="12">
        <v>365</v>
      </c>
      <c r="F12" s="11">
        <f t="shared" ref="F12" si="4">D12/E12</f>
        <v>38913.391780821919</v>
      </c>
      <c r="G12" s="14">
        <f t="shared" ref="G12" si="5">F12/C12</f>
        <v>8.1151563101929905E-2</v>
      </c>
      <c r="H12" s="11">
        <v>3263219</v>
      </c>
      <c r="I12" s="15">
        <f t="shared" ref="I12" si="6">F12/H12</f>
        <v>1.1924848372365422E-2</v>
      </c>
      <c r="J12" s="22">
        <f t="shared" si="3"/>
        <v>0.14694539349029287</v>
      </c>
    </row>
    <row r="13" spans="2:10" x14ac:dyDescent="0.3">
      <c r="B13" s="10" t="s">
        <v>20</v>
      </c>
      <c r="C13" s="11">
        <v>430806</v>
      </c>
      <c r="D13" s="11">
        <v>14440337</v>
      </c>
      <c r="E13" s="12">
        <v>367.1</v>
      </c>
      <c r="F13" s="11">
        <f t="shared" ref="F13:F16" si="7">D13/E13</f>
        <v>39336.248978479976</v>
      </c>
      <c r="G13" s="14">
        <f t="shared" ref="G13:G16" si="8">F13/C13</f>
        <v>9.130849843892605E-2</v>
      </c>
      <c r="H13" s="11">
        <v>2874751</v>
      </c>
      <c r="I13" s="15">
        <f t="shared" ref="I13:I16" si="9">F13/H13</f>
        <v>1.3683358655577467E-2</v>
      </c>
      <c r="J13" s="22">
        <f t="shared" si="3"/>
        <v>0.1498585442704429</v>
      </c>
    </row>
    <row r="14" spans="2:10" x14ac:dyDescent="0.3">
      <c r="B14" s="10" t="s">
        <v>21</v>
      </c>
      <c r="C14" s="11">
        <f>127055+162760+60770</f>
        <v>350585</v>
      </c>
      <c r="D14" s="11">
        <v>14101011</v>
      </c>
      <c r="E14" s="12">
        <v>365.5</v>
      </c>
      <c r="F14" s="11">
        <f t="shared" si="7"/>
        <v>38580.057455540358</v>
      </c>
      <c r="G14" s="14">
        <f t="shared" si="8"/>
        <v>0.11004480355845332</v>
      </c>
      <c r="H14" s="11">
        <v>2692960</v>
      </c>
      <c r="I14" s="15">
        <f t="shared" si="9"/>
        <v>1.4326264577097453E-2</v>
      </c>
      <c r="J14" s="22">
        <f t="shared" si="3"/>
        <v>0.13018574356841542</v>
      </c>
    </row>
    <row r="15" spans="2:10" x14ac:dyDescent="0.3">
      <c r="B15" s="10" t="s">
        <v>22</v>
      </c>
      <c r="C15" s="11">
        <f>103295+152185+54495</f>
        <v>309975</v>
      </c>
      <c r="D15" s="11">
        <v>13909727</v>
      </c>
      <c r="E15" s="12">
        <v>378.5</v>
      </c>
      <c r="F15" s="11">
        <f t="shared" si="7"/>
        <v>36749.608982826947</v>
      </c>
      <c r="G15" s="14">
        <f t="shared" si="8"/>
        <v>0.11855668677418162</v>
      </c>
      <c r="H15" s="11">
        <v>1379860</v>
      </c>
      <c r="I15" s="15">
        <f t="shared" si="9"/>
        <v>2.6632853320501318E-2</v>
      </c>
      <c r="J15" s="22">
        <f t="shared" si="3"/>
        <v>0.22464235502152391</v>
      </c>
    </row>
    <row r="16" spans="2:10" x14ac:dyDescent="0.3">
      <c r="B16" s="10" t="s">
        <v>23</v>
      </c>
      <c r="C16" s="11">
        <v>109030</v>
      </c>
      <c r="D16" s="11">
        <v>10164235</v>
      </c>
      <c r="E16" s="12">
        <v>790</v>
      </c>
      <c r="F16" s="11">
        <f t="shared" si="7"/>
        <v>12866.120253164558</v>
      </c>
      <c r="G16" s="14">
        <f t="shared" si="8"/>
        <v>0.11800532195876876</v>
      </c>
      <c r="H16" s="11">
        <v>1156484</v>
      </c>
      <c r="I16" s="15">
        <f t="shared" si="9"/>
        <v>1.1125203853373292E-2</v>
      </c>
      <c r="J16" s="22">
        <f t="shared" si="3"/>
        <v>9.4277136562200603E-2</v>
      </c>
    </row>
    <row r="18" spans="2:16" x14ac:dyDescent="0.3">
      <c r="B18" s="17" t="s">
        <v>24</v>
      </c>
      <c r="C18" s="18">
        <f>SUM(C5:C14)</f>
        <v>4196094</v>
      </c>
      <c r="D18" s="18"/>
      <c r="E18" s="18"/>
      <c r="F18" s="18">
        <f>SUM(F5:F14)</f>
        <v>346942.84912098962</v>
      </c>
      <c r="G18" s="18"/>
      <c r="H18" s="18">
        <f>SUM(H5:H16)</f>
        <v>25622951</v>
      </c>
    </row>
    <row r="19" spans="2:16" x14ac:dyDescent="0.3">
      <c r="B19" s="28" t="s">
        <v>74</v>
      </c>
      <c r="C19" s="21"/>
      <c r="D19" s="21"/>
      <c r="E19" s="21"/>
      <c r="F19" s="21"/>
      <c r="G19" s="33">
        <f>(G5*F5+G6*F6+G7*F7+G8*F8+G9*F9+G10*F10+G11*F11+G12*F12+G13*F13+G14*F14)/F18</f>
        <v>8.4701111535063961E-2</v>
      </c>
      <c r="H19" s="2"/>
      <c r="I19" s="33">
        <f>(I5*H5+I6*H6+I7*H7+I8*H8+I9*H9+I10*H10+I11*H11+I12*H12+I13*H13+I14*H14)/H18</f>
        <v>1.3540315833292958E-2</v>
      </c>
      <c r="J19" s="33">
        <f>(J5*H5+J6*H6+J7*H7+J8*H8+J9*H9+J10*H10+J11*J11+J12*H12+J13*H13+J14*H14)/H18</f>
        <v>0.14423042190160257</v>
      </c>
      <c r="P19" s="26"/>
    </row>
    <row r="20" spans="2:16" x14ac:dyDescent="0.3">
      <c r="P20" s="26"/>
    </row>
    <row r="21" spans="2:16" x14ac:dyDescent="0.3">
      <c r="B21" s="1" t="s">
        <v>27</v>
      </c>
      <c r="C21" s="2">
        <v>107552</v>
      </c>
      <c r="D21" s="1" t="s">
        <v>31</v>
      </c>
    </row>
    <row r="22" spans="2:16" x14ac:dyDescent="0.3">
      <c r="B22" s="9"/>
      <c r="C22" s="10" t="s">
        <v>7</v>
      </c>
      <c r="D22" s="10" t="s">
        <v>8</v>
      </c>
      <c r="E22" s="10" t="s">
        <v>10</v>
      </c>
      <c r="F22" s="10" t="s">
        <v>9</v>
      </c>
      <c r="G22" s="10" t="s">
        <v>13</v>
      </c>
      <c r="H22" s="10" t="s">
        <v>28</v>
      </c>
      <c r="I22" s="10" t="s">
        <v>30</v>
      </c>
      <c r="J22" s="20" t="s">
        <v>29</v>
      </c>
    </row>
    <row r="23" spans="2:16" x14ac:dyDescent="0.3">
      <c r="B23" s="10" t="s">
        <v>0</v>
      </c>
      <c r="C23" s="11"/>
      <c r="D23" s="11"/>
      <c r="E23" s="12"/>
      <c r="F23" s="13"/>
      <c r="G23" s="14"/>
      <c r="H23" s="11"/>
      <c r="I23" s="15"/>
      <c r="J23" s="22"/>
    </row>
    <row r="24" spans="2:16" x14ac:dyDescent="0.3">
      <c r="B24" s="10" t="s">
        <v>1</v>
      </c>
      <c r="C24" s="11"/>
      <c r="D24" s="11"/>
      <c r="E24" s="12"/>
      <c r="F24" s="13"/>
      <c r="G24" s="14"/>
      <c r="H24" s="11"/>
      <c r="I24" s="15"/>
      <c r="J24" s="22"/>
    </row>
    <row r="25" spans="2:16" x14ac:dyDescent="0.3">
      <c r="B25" s="10" t="s">
        <v>2</v>
      </c>
      <c r="C25" s="11"/>
      <c r="D25" s="11"/>
      <c r="E25" s="12"/>
      <c r="F25" s="13"/>
      <c r="G25" s="14"/>
      <c r="H25" s="11"/>
      <c r="I25" s="15"/>
      <c r="J25" s="22"/>
    </row>
    <row r="26" spans="2:16" x14ac:dyDescent="0.3">
      <c r="B26" s="10" t="s">
        <v>3</v>
      </c>
      <c r="C26" s="11"/>
      <c r="D26" s="11"/>
      <c r="E26" s="12"/>
      <c r="F26" s="13"/>
      <c r="G26" s="14"/>
      <c r="H26" s="11"/>
      <c r="I26" s="15"/>
      <c r="J26" s="22"/>
    </row>
    <row r="27" spans="2:16" x14ac:dyDescent="0.3">
      <c r="B27" s="10" t="s">
        <v>4</v>
      </c>
      <c r="C27" s="11"/>
      <c r="D27" s="11"/>
      <c r="E27" s="12"/>
      <c r="F27" s="13"/>
      <c r="G27" s="14"/>
      <c r="H27" s="11"/>
      <c r="I27" s="15"/>
      <c r="J27" s="22"/>
    </row>
    <row r="28" spans="2:16" x14ac:dyDescent="0.3">
      <c r="B28" s="10" t="s">
        <v>5</v>
      </c>
      <c r="C28" s="11"/>
      <c r="D28" s="11"/>
      <c r="E28" s="12"/>
      <c r="F28" s="13"/>
      <c r="G28" s="14"/>
      <c r="H28" s="11"/>
      <c r="I28" s="15"/>
      <c r="J28" s="22"/>
    </row>
    <row r="29" spans="2:16" x14ac:dyDescent="0.3">
      <c r="B29" s="10" t="s">
        <v>6</v>
      </c>
      <c r="C29" s="11"/>
      <c r="D29" s="11"/>
      <c r="E29" s="12"/>
      <c r="F29" s="13"/>
      <c r="G29" s="14"/>
      <c r="H29" s="11"/>
      <c r="I29" s="15"/>
      <c r="J29" s="22"/>
    </row>
    <row r="30" spans="2:16" x14ac:dyDescent="0.3">
      <c r="B30" s="10" t="s">
        <v>16</v>
      </c>
      <c r="C30" s="11">
        <v>31200</v>
      </c>
      <c r="D30" s="11">
        <v>3617865</v>
      </c>
      <c r="E30" s="12">
        <v>365</v>
      </c>
      <c r="F30" s="11">
        <f t="shared" ref="F30:F34" si="10">D30/E30</f>
        <v>9911.9589041095896</v>
      </c>
      <c r="G30" s="14">
        <f>(F30+F31)/C30/2</f>
        <v>0.28809218099320688</v>
      </c>
      <c r="H30" s="11">
        <v>0</v>
      </c>
      <c r="I30" s="15"/>
      <c r="J30" s="22"/>
    </row>
    <row r="31" spans="2:16" x14ac:dyDescent="0.3">
      <c r="B31" s="10" t="s">
        <v>20</v>
      </c>
      <c r="C31" s="11"/>
      <c r="D31" s="11">
        <v>2960659</v>
      </c>
      <c r="E31" s="12">
        <v>367.1</v>
      </c>
      <c r="F31" s="11">
        <f t="shared" si="10"/>
        <v>8064.9931898665209</v>
      </c>
      <c r="G31" s="14">
        <f>G30</f>
        <v>0.28809218099320688</v>
      </c>
      <c r="H31" s="11">
        <v>937</v>
      </c>
      <c r="I31" s="15">
        <f t="shared" ref="I31:I33" si="11">F31/H31</f>
        <v>8.6072499358233951</v>
      </c>
      <c r="J31" s="22">
        <f>C30/H31</f>
        <v>33.297758804695839</v>
      </c>
    </row>
    <row r="32" spans="2:16" x14ac:dyDescent="0.3">
      <c r="B32" s="10" t="s">
        <v>21</v>
      </c>
      <c r="C32" s="11">
        <v>3600</v>
      </c>
      <c r="D32" s="11">
        <v>3254758</v>
      </c>
      <c r="E32" s="12">
        <v>365.5</v>
      </c>
      <c r="F32" s="13">
        <f t="shared" si="10"/>
        <v>8904.9466484268123</v>
      </c>
      <c r="G32" s="14">
        <f t="shared" ref="G32:G34" si="12">F32/C32</f>
        <v>2.4735962912296703</v>
      </c>
      <c r="H32" s="11">
        <v>1233</v>
      </c>
      <c r="I32" s="15">
        <f t="shared" si="11"/>
        <v>7.222178952495387</v>
      </c>
      <c r="J32" s="22">
        <f>C32/H32</f>
        <v>2.9197080291970803</v>
      </c>
    </row>
    <row r="33" spans="1:14" x14ac:dyDescent="0.3">
      <c r="B33" s="10" t="s">
        <v>22</v>
      </c>
      <c r="C33" s="11">
        <v>3600</v>
      </c>
      <c r="D33" s="11">
        <v>2960659</v>
      </c>
      <c r="E33" s="12">
        <v>365.5</v>
      </c>
      <c r="F33" s="13">
        <f t="shared" si="10"/>
        <v>8100.2982216142273</v>
      </c>
      <c r="G33" s="14">
        <f t="shared" si="12"/>
        <v>2.2500828393372854</v>
      </c>
      <c r="H33" s="11">
        <v>26717</v>
      </c>
      <c r="I33" s="15">
        <f t="shared" si="11"/>
        <v>0.30318891423491512</v>
      </c>
      <c r="J33" s="9"/>
    </row>
    <row r="34" spans="1:14" x14ac:dyDescent="0.3">
      <c r="B34" s="10" t="s">
        <v>23</v>
      </c>
      <c r="C34" s="11">
        <v>1</v>
      </c>
      <c r="D34" s="11">
        <v>2960658.9</v>
      </c>
      <c r="E34" s="12">
        <v>790</v>
      </c>
      <c r="F34" s="13">
        <f t="shared" si="10"/>
        <v>3747.6694936708859</v>
      </c>
      <c r="G34" s="14">
        <f t="shared" si="12"/>
        <v>3747.6694936708859</v>
      </c>
      <c r="H34" s="11">
        <v>0</v>
      </c>
      <c r="I34" s="15"/>
      <c r="J34" s="9"/>
    </row>
    <row r="36" spans="1:14" x14ac:dyDescent="0.3">
      <c r="B36" s="17" t="s">
        <v>24</v>
      </c>
      <c r="C36" s="18">
        <f>SUM(C23:C32)</f>
        <v>34800</v>
      </c>
      <c r="D36" s="18"/>
      <c r="E36" s="18"/>
      <c r="F36" s="18">
        <f>SUM(F23:F32)</f>
        <v>26881.898742402922</v>
      </c>
      <c r="G36" s="18"/>
      <c r="H36" s="18">
        <f>SUM(H23:H34)</f>
        <v>28887</v>
      </c>
    </row>
    <row r="37" spans="1:14" x14ac:dyDescent="0.3">
      <c r="B37" s="28" t="s">
        <v>14</v>
      </c>
      <c r="C37" s="21"/>
      <c r="D37" s="21"/>
      <c r="E37" s="21"/>
      <c r="F37" s="21"/>
      <c r="G37" s="34">
        <f>(G23*F23+G24*F24+G25*F25+G26*F26+G27*F27+G28*F28+G29*F29+G30*F30+G31*F31+G32*F32)/F36</f>
        <v>1.012066245774375</v>
      </c>
      <c r="H37" s="2"/>
      <c r="I37" s="34">
        <f>(I23*H23+I24*H24+I25*H25+I26*H26+I27*H27+I28*H28+I29*H29+I30*H30+I31*H31+I32*H32)/H36</f>
        <v>0.58745940520972517</v>
      </c>
      <c r="J37" s="34">
        <f>(J23*H23+J24*H24+J25*H25+J26*H26+J27*H27+J28*H28+J29*J29+J30*H30+J31*H31+J32*H32)/H36</f>
        <v>1.2046941530792399</v>
      </c>
    </row>
    <row r="38" spans="1:14" x14ac:dyDescent="0.3">
      <c r="A38" s="24"/>
      <c r="B38" s="24"/>
      <c r="C38" s="24"/>
      <c r="D38" s="24"/>
      <c r="E38" s="24"/>
      <c r="F38" s="24"/>
      <c r="G38" s="23"/>
    </row>
    <row r="39" spans="1:14" x14ac:dyDescent="0.3">
      <c r="B39" s="77" t="s">
        <v>15</v>
      </c>
      <c r="C39" s="78"/>
    </row>
    <row r="40" spans="1:14" x14ac:dyDescent="0.3">
      <c r="B40" s="92" t="s">
        <v>41</v>
      </c>
      <c r="C40" s="2"/>
    </row>
    <row r="41" spans="1:14" x14ac:dyDescent="0.3">
      <c r="B41" s="138"/>
      <c r="C41" s="136" t="s">
        <v>7</v>
      </c>
      <c r="D41" s="136" t="s">
        <v>8</v>
      </c>
      <c r="E41" s="136" t="s">
        <v>10</v>
      </c>
      <c r="F41" s="136" t="s">
        <v>9</v>
      </c>
      <c r="G41" s="136" t="s">
        <v>13</v>
      </c>
      <c r="H41" s="136" t="s">
        <v>11</v>
      </c>
      <c r="I41" s="136" t="s">
        <v>12</v>
      </c>
      <c r="J41" s="136" t="s">
        <v>26</v>
      </c>
      <c r="N41" s="37"/>
    </row>
    <row r="42" spans="1:14" x14ac:dyDescent="0.3">
      <c r="B42" s="137" t="s">
        <v>0</v>
      </c>
      <c r="C42" s="11">
        <v>264947</v>
      </c>
      <c r="D42" s="11">
        <v>3594025</v>
      </c>
      <c r="E42" s="12">
        <v>184</v>
      </c>
      <c r="F42" s="11">
        <f>D42/E42</f>
        <v>19532.744565217392</v>
      </c>
      <c r="G42" s="14">
        <f>F42/C42</f>
        <v>7.3723214700364192E-2</v>
      </c>
      <c r="H42" s="11">
        <v>1114850</v>
      </c>
      <c r="I42" s="15">
        <f>F42/H42</f>
        <v>1.752051358049728E-2</v>
      </c>
      <c r="J42" s="22">
        <f>C42/H42</f>
        <v>0.23765259900435037</v>
      </c>
      <c r="K42" s="36" t="s">
        <v>37</v>
      </c>
    </row>
    <row r="43" spans="1:14" x14ac:dyDescent="0.3">
      <c r="B43" s="137" t="s">
        <v>1</v>
      </c>
      <c r="C43" s="11">
        <v>517814</v>
      </c>
      <c r="D43" s="11">
        <v>7090953</v>
      </c>
      <c r="E43" s="12">
        <v>204</v>
      </c>
      <c r="F43" s="11">
        <f t="shared" ref="F43:F53" si="13">D43/E43</f>
        <v>34759.573529411762</v>
      </c>
      <c r="G43" s="14">
        <f t="shared" ref="G43:G53" si="14">F43/C43</f>
        <v>6.7127527508742069E-2</v>
      </c>
      <c r="H43" s="11">
        <v>2329571</v>
      </c>
      <c r="I43" s="15">
        <f t="shared" ref="I43:I53" si="15">F43/H43</f>
        <v>1.4921019161644681E-2</v>
      </c>
      <c r="J43" s="22">
        <f t="shared" ref="J43:J53" si="16">C43/H43</f>
        <v>0.22227869423168473</v>
      </c>
      <c r="K43" s="36" t="s">
        <v>37</v>
      </c>
    </row>
    <row r="44" spans="1:14" x14ac:dyDescent="0.3">
      <c r="B44" s="137" t="s">
        <v>2</v>
      </c>
      <c r="C44" s="11">
        <v>428057</v>
      </c>
      <c r="D44" s="11">
        <v>6373151</v>
      </c>
      <c r="E44" s="12">
        <v>215</v>
      </c>
      <c r="F44" s="11">
        <f t="shared" si="13"/>
        <v>29642.562790697673</v>
      </c>
      <c r="G44" s="14">
        <f t="shared" si="14"/>
        <v>6.9249101850215447E-2</v>
      </c>
      <c r="H44" s="11">
        <v>1751127</v>
      </c>
      <c r="I44" s="15">
        <f t="shared" si="15"/>
        <v>1.6927705866392143E-2</v>
      </c>
      <c r="J44" s="22">
        <f t="shared" si="16"/>
        <v>0.24444657640479531</v>
      </c>
      <c r="K44" s="36" t="s">
        <v>37</v>
      </c>
    </row>
    <row r="45" spans="1:14" x14ac:dyDescent="0.3">
      <c r="B45" s="137" t="s">
        <v>3</v>
      </c>
      <c r="C45" s="11">
        <v>420763</v>
      </c>
      <c r="D45" s="11">
        <v>6573606</v>
      </c>
      <c r="E45" s="12">
        <v>230</v>
      </c>
      <c r="F45" s="11">
        <f t="shared" si="13"/>
        <v>28580.895652173913</v>
      </c>
      <c r="G45" s="14">
        <f t="shared" si="14"/>
        <v>6.79263520133042E-2</v>
      </c>
      <c r="H45" s="11">
        <v>2720075</v>
      </c>
      <c r="I45" s="15">
        <f t="shared" si="15"/>
        <v>1.0507392499167822E-2</v>
      </c>
      <c r="J45" s="22">
        <f t="shared" si="16"/>
        <v>0.1546880141172578</v>
      </c>
      <c r="K45" s="36" t="s">
        <v>37</v>
      </c>
    </row>
    <row r="46" spans="1:14" x14ac:dyDescent="0.3">
      <c r="B46" s="137" t="s">
        <v>4</v>
      </c>
      <c r="C46" s="11">
        <v>406760</v>
      </c>
      <c r="D46" s="11">
        <v>9315709</v>
      </c>
      <c r="E46" s="12">
        <v>244</v>
      </c>
      <c r="F46" s="11">
        <f t="shared" si="13"/>
        <v>38179.135245901642</v>
      </c>
      <c r="G46" s="14">
        <f t="shared" si="14"/>
        <v>9.3861577455751896E-2</v>
      </c>
      <c r="H46" s="11">
        <v>1147140</v>
      </c>
      <c r="I46" s="15">
        <f t="shared" si="15"/>
        <v>3.328201897405865E-2</v>
      </c>
      <c r="J46" s="22">
        <f t="shared" si="16"/>
        <v>0.35458618825949756</v>
      </c>
      <c r="K46" s="36" t="s">
        <v>37</v>
      </c>
    </row>
    <row r="47" spans="1:14" x14ac:dyDescent="0.3">
      <c r="B47" s="137" t="s">
        <v>5</v>
      </c>
      <c r="C47" s="11">
        <v>396362</v>
      </c>
      <c r="D47" s="11">
        <v>9353226</v>
      </c>
      <c r="E47" s="12">
        <v>257</v>
      </c>
      <c r="F47" s="11">
        <f t="shared" si="13"/>
        <v>36393.875486381323</v>
      </c>
      <c r="G47" s="14">
        <f t="shared" si="14"/>
        <v>9.1819789703304872E-2</v>
      </c>
      <c r="H47" s="11">
        <v>2441754</v>
      </c>
      <c r="I47" s="15">
        <f t="shared" si="15"/>
        <v>1.4904808382163529E-2</v>
      </c>
      <c r="J47" s="22">
        <f t="shared" si="16"/>
        <v>0.16232675363693477</v>
      </c>
      <c r="K47" s="36" t="s">
        <v>37</v>
      </c>
    </row>
    <row r="48" spans="1:14" x14ac:dyDescent="0.3">
      <c r="B48" s="137" t="s">
        <v>6</v>
      </c>
      <c r="C48" s="11">
        <v>500485</v>
      </c>
      <c r="D48" s="11">
        <v>12304968</v>
      </c>
      <c r="E48" s="12">
        <v>286</v>
      </c>
      <c r="F48" s="11">
        <f t="shared" si="13"/>
        <v>43024.36363636364</v>
      </c>
      <c r="G48" s="14">
        <f t="shared" si="14"/>
        <v>8.5965340892061981E-2</v>
      </c>
      <c r="H48" s="11">
        <v>2751160</v>
      </c>
      <c r="I48" s="15">
        <f t="shared" si="15"/>
        <v>1.5638626483506463E-2</v>
      </c>
      <c r="J48" s="22">
        <f t="shared" si="16"/>
        <v>0.18191780921502201</v>
      </c>
      <c r="K48" s="36" t="s">
        <v>37</v>
      </c>
    </row>
    <row r="49" spans="2:11" x14ac:dyDescent="0.3">
      <c r="B49" s="137" t="s">
        <v>16</v>
      </c>
      <c r="C49" s="11">
        <f>479515+C30/2</f>
        <v>495115</v>
      </c>
      <c r="D49" s="11">
        <f>+D12+D30</f>
        <v>17821253</v>
      </c>
      <c r="E49" s="12">
        <v>365</v>
      </c>
      <c r="F49" s="11">
        <f t="shared" si="13"/>
        <v>48825.350684931509</v>
      </c>
      <c r="G49" s="14">
        <f>(F49)/C49</f>
        <v>9.8614161729964775E-2</v>
      </c>
      <c r="H49" s="11">
        <v>3263219</v>
      </c>
      <c r="I49" s="15">
        <f t="shared" si="15"/>
        <v>1.4962327286318052E-2</v>
      </c>
      <c r="J49" s="22">
        <f t="shared" si="16"/>
        <v>0.15172594913182352</v>
      </c>
      <c r="K49" s="36" t="s">
        <v>36</v>
      </c>
    </row>
    <row r="50" spans="2:11" x14ac:dyDescent="0.3">
      <c r="B50" s="137" t="s">
        <v>20</v>
      </c>
      <c r="C50" s="11">
        <f>430806+C30/2</f>
        <v>446406</v>
      </c>
      <c r="D50" s="11">
        <f>+D13+D31</f>
        <v>17400996</v>
      </c>
      <c r="E50" s="12">
        <v>367.1</v>
      </c>
      <c r="F50" s="11">
        <f t="shared" si="13"/>
        <v>47401.2421683465</v>
      </c>
      <c r="G50" s="14">
        <f>(F50)/C50</f>
        <v>0.10618415112777718</v>
      </c>
      <c r="H50" s="11">
        <v>2874751</v>
      </c>
      <c r="I50" s="15">
        <f t="shared" si="15"/>
        <v>1.6488816655197788E-2</v>
      </c>
      <c r="J50" s="22">
        <f t="shared" si="16"/>
        <v>0.1552851012139834</v>
      </c>
      <c r="K50" s="36" t="s">
        <v>36</v>
      </c>
    </row>
    <row r="51" spans="2:11" x14ac:dyDescent="0.3">
      <c r="B51" s="137" t="s">
        <v>21</v>
      </c>
      <c r="C51" s="11">
        <f>C14+C32</f>
        <v>354185</v>
      </c>
      <c r="D51" s="11">
        <f>+D14+D32</f>
        <v>17355769</v>
      </c>
      <c r="E51" s="12">
        <v>365.5</v>
      </c>
      <c r="F51" s="11">
        <f t="shared" si="13"/>
        <v>47485.004103967171</v>
      </c>
      <c r="G51" s="14">
        <f t="shared" si="14"/>
        <v>0.13406836569580069</v>
      </c>
      <c r="H51" s="11">
        <f>H14+H32</f>
        <v>2694193</v>
      </c>
      <c r="I51" s="15">
        <f t="shared" si="15"/>
        <v>1.7624945244816229E-2</v>
      </c>
      <c r="J51" s="22">
        <f t="shared" si="16"/>
        <v>0.13146237110704392</v>
      </c>
      <c r="K51" s="36" t="s">
        <v>36</v>
      </c>
    </row>
    <row r="52" spans="2:11" x14ac:dyDescent="0.3">
      <c r="B52" s="137" t="s">
        <v>22</v>
      </c>
      <c r="C52" s="11">
        <f>C15+C33</f>
        <v>313575</v>
      </c>
      <c r="D52" s="11">
        <f>+D15+D33</f>
        <v>16870386</v>
      </c>
      <c r="E52" s="12">
        <v>365.5</v>
      </c>
      <c r="F52" s="11">
        <f t="shared" si="13"/>
        <v>46157.006839945279</v>
      </c>
      <c r="G52" s="14">
        <f t="shared" si="14"/>
        <v>0.14719606741591415</v>
      </c>
      <c r="H52" s="11">
        <f>H15+H33</f>
        <v>1406577</v>
      </c>
      <c r="I52" s="15">
        <f t="shared" si="15"/>
        <v>3.2815129807998625E-2</v>
      </c>
      <c r="J52" s="22">
        <f t="shared" si="16"/>
        <v>0.22293482688825425</v>
      </c>
      <c r="K52" s="36" t="s">
        <v>36</v>
      </c>
    </row>
    <row r="53" spans="2:11" x14ac:dyDescent="0.3">
      <c r="B53" s="137" t="s">
        <v>23</v>
      </c>
      <c r="C53" s="11">
        <v>199030</v>
      </c>
      <c r="D53" s="11">
        <f>10164264.5+2960659</f>
        <v>13124923.5</v>
      </c>
      <c r="E53" s="12">
        <v>790</v>
      </c>
      <c r="F53" s="11">
        <f t="shared" si="13"/>
        <v>16613.827215189875</v>
      </c>
      <c r="G53" s="14">
        <f t="shared" si="14"/>
        <v>8.3473984902727602E-2</v>
      </c>
      <c r="H53" s="11">
        <v>1156484</v>
      </c>
      <c r="I53" s="15">
        <f t="shared" si="15"/>
        <v>1.436580810040595E-2</v>
      </c>
      <c r="J53" s="22">
        <f t="shared" si="16"/>
        <v>0.17209922489200025</v>
      </c>
      <c r="K53" s="36" t="s">
        <v>36</v>
      </c>
    </row>
    <row r="55" spans="2:11" x14ac:dyDescent="0.3">
      <c r="B55" s="17" t="s">
        <v>24</v>
      </c>
      <c r="C55" s="18">
        <f>SUM(C42:C53)</f>
        <v>4743499</v>
      </c>
      <c r="D55" s="18"/>
      <c r="E55" s="18"/>
      <c r="F55" s="18">
        <f>SUM(F42:F53)</f>
        <v>436595.58191852766</v>
      </c>
      <c r="G55" s="18"/>
      <c r="H55" s="18">
        <f>SUM(H42:H53)</f>
        <v>25650901</v>
      </c>
    </row>
    <row r="56" spans="2:11" x14ac:dyDescent="0.3">
      <c r="B56" s="79" t="s">
        <v>74</v>
      </c>
      <c r="C56" s="80"/>
      <c r="D56" s="80"/>
      <c r="E56" s="80"/>
      <c r="F56" s="81">
        <f>AVERAGE(F42:F53)</f>
        <v>36382.965159877305</v>
      </c>
      <c r="G56" s="82">
        <f>(G42*F42+G43*F43+G44*F44+G45*F45+G46*F46+G47*F47+G48*F48+G49*F49+G50*F50+G51*F51+G52*F52+G53*F53)/F55</f>
        <v>9.8000566953989968E-2</v>
      </c>
      <c r="H56" s="83"/>
      <c r="I56" s="82">
        <f>(I42*H42+I43*H43+I44*H44+I45*H45+I46*H46+I47*H47+I48*H48+I49*H49+I50*H50+H51*I51+H52*I52+H53*I53)/H55</f>
        <v>1.7020672370086636E-2</v>
      </c>
      <c r="J56" s="82">
        <f>(J42*H42+J43*H43+J44*H44+J45*H45+J46*H46+J47*H47+J48*J48+J49*H49+J50*H50+J51*H51+J52*H52+J53*H53)/H55</f>
        <v>0.16541383996975736</v>
      </c>
    </row>
  </sheetData>
  <pageMargins left="0.7" right="0.7" top="0.75" bottom="0.75" header="0.3" footer="0.3"/>
  <pageSetup orientation="landscape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67"/>
  <sheetViews>
    <sheetView topLeftCell="A13" workbookViewId="0">
      <selection activeCell="B51" sqref="B51"/>
    </sheetView>
  </sheetViews>
  <sheetFormatPr baseColWidth="10" defaultRowHeight="14.4" x14ac:dyDescent="0.3"/>
  <cols>
    <col min="11" max="11" width="3.5546875" customWidth="1"/>
  </cols>
  <sheetData>
    <row r="1" spans="2:13" ht="18" x14ac:dyDescent="0.35">
      <c r="B1" s="16">
        <v>2023</v>
      </c>
    </row>
    <row r="2" spans="2:13" ht="18" x14ac:dyDescent="0.35">
      <c r="B2" s="16" t="s">
        <v>17</v>
      </c>
      <c r="L2" s="16" t="s">
        <v>34</v>
      </c>
    </row>
    <row r="3" spans="2:13" x14ac:dyDescent="0.3">
      <c r="B3" t="s">
        <v>33</v>
      </c>
      <c r="L3" t="s">
        <v>33</v>
      </c>
    </row>
    <row r="4" spans="2:13" x14ac:dyDescent="0.3">
      <c r="C4" s="2" t="s">
        <v>7</v>
      </c>
      <c r="M4" s="2" t="s">
        <v>35</v>
      </c>
    </row>
    <row r="5" spans="2:13" x14ac:dyDescent="0.3">
      <c r="B5" s="2" t="s">
        <v>0</v>
      </c>
      <c r="C5" s="3">
        <f>datos23!C5</f>
        <v>264947</v>
      </c>
      <c r="L5" s="2" t="s">
        <v>0</v>
      </c>
      <c r="M5" s="30">
        <f>datos23!J42</f>
        <v>0.23765259900435037</v>
      </c>
    </row>
    <row r="6" spans="2:13" x14ac:dyDescent="0.3">
      <c r="B6" s="2" t="s">
        <v>1</v>
      </c>
      <c r="C6" s="3">
        <f>datos23!C6</f>
        <v>517814</v>
      </c>
      <c r="L6" s="2" t="s">
        <v>1</v>
      </c>
      <c r="M6" s="30">
        <f>datos23!J43</f>
        <v>0.22227869423168473</v>
      </c>
    </row>
    <row r="7" spans="2:13" x14ac:dyDescent="0.3">
      <c r="B7" s="2" t="s">
        <v>2</v>
      </c>
      <c r="C7" s="3">
        <f>datos23!C7</f>
        <v>428057</v>
      </c>
      <c r="L7" s="2" t="s">
        <v>2</v>
      </c>
      <c r="M7" s="30">
        <f>datos23!J44</f>
        <v>0.24444657640479531</v>
      </c>
    </row>
    <row r="8" spans="2:13" x14ac:dyDescent="0.3">
      <c r="B8" s="2" t="s">
        <v>3</v>
      </c>
      <c r="C8" s="3">
        <f>datos23!C8</f>
        <v>420763</v>
      </c>
      <c r="L8" s="2" t="s">
        <v>3</v>
      </c>
      <c r="M8" s="30">
        <f>datos23!J45</f>
        <v>0.1546880141172578</v>
      </c>
    </row>
    <row r="9" spans="2:13" x14ac:dyDescent="0.3">
      <c r="B9" s="2" t="s">
        <v>4</v>
      </c>
      <c r="C9" s="3">
        <f>datos23!C9</f>
        <v>406760</v>
      </c>
      <c r="L9" s="2" t="s">
        <v>4</v>
      </c>
      <c r="M9" s="30">
        <f>datos23!J46</f>
        <v>0.35458618825949756</v>
      </c>
    </row>
    <row r="10" spans="2:13" x14ac:dyDescent="0.3">
      <c r="B10" s="2" t="s">
        <v>5</v>
      </c>
      <c r="C10" s="3">
        <f>datos23!C10</f>
        <v>396362</v>
      </c>
      <c r="L10" s="2" t="s">
        <v>5</v>
      </c>
      <c r="M10" s="30">
        <f>datos23!J47</f>
        <v>0.16232675363693477</v>
      </c>
    </row>
    <row r="11" spans="2:13" x14ac:dyDescent="0.3">
      <c r="B11" s="2" t="s">
        <v>6</v>
      </c>
      <c r="C11" s="3">
        <f>datos23!C11</f>
        <v>500485</v>
      </c>
      <c r="L11" s="2" t="s">
        <v>6</v>
      </c>
      <c r="M11" s="30">
        <f>datos23!J48</f>
        <v>0.18191780921502201</v>
      </c>
    </row>
    <row r="12" spans="2:13" x14ac:dyDescent="0.3">
      <c r="B12" s="2" t="s">
        <v>16</v>
      </c>
      <c r="C12" s="3">
        <f>datos23!C12</f>
        <v>479515</v>
      </c>
      <c r="L12" s="2" t="s">
        <v>16</v>
      </c>
      <c r="M12" s="30">
        <f>datos23!J49</f>
        <v>0.15172594913182352</v>
      </c>
    </row>
    <row r="13" spans="2:13" x14ac:dyDescent="0.3">
      <c r="B13" s="2" t="s">
        <v>20</v>
      </c>
      <c r="C13" s="3">
        <f>datos23!C13</f>
        <v>430806</v>
      </c>
      <c r="L13" s="2" t="s">
        <v>20</v>
      </c>
      <c r="M13" s="30">
        <f>datos23!J50</f>
        <v>0.1552851012139834</v>
      </c>
    </row>
    <row r="14" spans="2:13" x14ac:dyDescent="0.3">
      <c r="B14" s="2" t="s">
        <v>21</v>
      </c>
      <c r="C14" s="3">
        <f>datos23!C14</f>
        <v>350585</v>
      </c>
      <c r="L14" s="2" t="s">
        <v>21</v>
      </c>
      <c r="M14" s="30">
        <f>datos23!J51</f>
        <v>0.13146237110704392</v>
      </c>
    </row>
    <row r="15" spans="2:13" x14ac:dyDescent="0.3">
      <c r="B15" s="2" t="s">
        <v>22</v>
      </c>
      <c r="C15" s="3">
        <f>datos23!C15</f>
        <v>309975</v>
      </c>
      <c r="L15" s="2" t="s">
        <v>22</v>
      </c>
      <c r="M15" s="30">
        <f>datos23!J52</f>
        <v>0.22293482688825425</v>
      </c>
    </row>
    <row r="16" spans="2:13" x14ac:dyDescent="0.3">
      <c r="B16" s="2" t="s">
        <v>23</v>
      </c>
      <c r="C16" s="3">
        <f>datos23!C16</f>
        <v>109030</v>
      </c>
      <c r="L16" s="2" t="s">
        <v>23</v>
      </c>
      <c r="M16" s="30">
        <f>datos23!J53</f>
        <v>0.17209922489200025</v>
      </c>
    </row>
    <row r="17" spans="2:13" x14ac:dyDescent="0.3">
      <c r="B17" s="5" t="s">
        <v>14</v>
      </c>
      <c r="C17" s="7">
        <f>AVERAGE(C5:C16)</f>
        <v>384591.58333333331</v>
      </c>
      <c r="L17" s="5" t="s">
        <v>14</v>
      </c>
      <c r="M17" s="35">
        <f>AVERAGE(M5:M16)</f>
        <v>0.19928367567522065</v>
      </c>
    </row>
    <row r="19" spans="2:13" ht="18" x14ac:dyDescent="0.35">
      <c r="B19" s="16" t="s">
        <v>19</v>
      </c>
      <c r="L19" s="25" t="s">
        <v>32</v>
      </c>
      <c r="M19" s="25"/>
    </row>
    <row r="20" spans="2:13" x14ac:dyDescent="0.3">
      <c r="C20" s="2" t="s">
        <v>13</v>
      </c>
      <c r="M20" s="2" t="s">
        <v>13</v>
      </c>
    </row>
    <row r="21" spans="2:13" x14ac:dyDescent="0.3">
      <c r="B21" s="2" t="s">
        <v>0</v>
      </c>
      <c r="C21" s="4">
        <f>datos23!G5</f>
        <v>7.3723214700364192E-2</v>
      </c>
      <c r="L21" s="2" t="s">
        <v>0</v>
      </c>
      <c r="M21" s="27">
        <f>datos23!G42</f>
        <v>7.3723214700364192E-2</v>
      </c>
    </row>
    <row r="22" spans="2:13" x14ac:dyDescent="0.3">
      <c r="B22" s="2" t="s">
        <v>1</v>
      </c>
      <c r="C22" s="4">
        <f>datos23!G6</f>
        <v>6.7127527508742069E-2</v>
      </c>
      <c r="L22" s="2" t="s">
        <v>1</v>
      </c>
      <c r="M22" s="27">
        <f>datos23!G43</f>
        <v>6.7127527508742069E-2</v>
      </c>
    </row>
    <row r="23" spans="2:13" x14ac:dyDescent="0.3">
      <c r="B23" s="2" t="s">
        <v>2</v>
      </c>
      <c r="C23" s="4">
        <f>datos23!G7</f>
        <v>6.9249101850215447E-2</v>
      </c>
      <c r="L23" s="2" t="s">
        <v>2</v>
      </c>
      <c r="M23" s="27">
        <f>datos23!G44</f>
        <v>6.9249101850215447E-2</v>
      </c>
    </row>
    <row r="24" spans="2:13" x14ac:dyDescent="0.3">
      <c r="B24" s="2" t="s">
        <v>3</v>
      </c>
      <c r="C24" s="4">
        <f>datos23!G8</f>
        <v>6.79263520133042E-2</v>
      </c>
      <c r="L24" s="2" t="s">
        <v>3</v>
      </c>
      <c r="M24" s="27">
        <f>datos23!G45</f>
        <v>6.79263520133042E-2</v>
      </c>
    </row>
    <row r="25" spans="2:13" x14ac:dyDescent="0.3">
      <c r="B25" s="2" t="s">
        <v>4</v>
      </c>
      <c r="C25" s="4">
        <f>datos23!G9</f>
        <v>9.3861577455751896E-2</v>
      </c>
      <c r="L25" s="2" t="s">
        <v>4</v>
      </c>
      <c r="M25" s="27">
        <f>datos23!G46</f>
        <v>9.3861577455751896E-2</v>
      </c>
    </row>
    <row r="26" spans="2:13" x14ac:dyDescent="0.3">
      <c r="B26" s="2" t="s">
        <v>5</v>
      </c>
      <c r="C26" s="4">
        <f>datos23!G10</f>
        <v>9.1819789703304872E-2</v>
      </c>
      <c r="L26" s="2" t="s">
        <v>5</v>
      </c>
      <c r="M26" s="27">
        <f>datos23!G47</f>
        <v>9.1819789703304872E-2</v>
      </c>
    </row>
    <row r="27" spans="2:13" x14ac:dyDescent="0.3">
      <c r="B27" s="2" t="s">
        <v>6</v>
      </c>
      <c r="C27" s="4">
        <f>datos23!G11</f>
        <v>8.5965340892061981E-2</v>
      </c>
      <c r="L27" s="2" t="s">
        <v>6</v>
      </c>
      <c r="M27" s="27">
        <f>datos23!G48</f>
        <v>8.5965340892061981E-2</v>
      </c>
    </row>
    <row r="28" spans="2:13" x14ac:dyDescent="0.3">
      <c r="B28" s="2" t="s">
        <v>16</v>
      </c>
      <c r="C28" s="4">
        <f>datos23!G12</f>
        <v>8.1151563101929905E-2</v>
      </c>
      <c r="L28" s="2" t="s">
        <v>16</v>
      </c>
      <c r="M28" s="27">
        <f>datos23!G49</f>
        <v>9.8614161729964775E-2</v>
      </c>
    </row>
    <row r="29" spans="2:13" x14ac:dyDescent="0.3">
      <c r="B29" s="2" t="s">
        <v>20</v>
      </c>
      <c r="C29" s="4">
        <f>datos23!G13</f>
        <v>9.130849843892605E-2</v>
      </c>
      <c r="L29" s="2" t="s">
        <v>20</v>
      </c>
      <c r="M29" s="27">
        <f>datos23!G50</f>
        <v>0.10618415112777718</v>
      </c>
    </row>
    <row r="30" spans="2:13" x14ac:dyDescent="0.3">
      <c r="B30" s="2" t="s">
        <v>21</v>
      </c>
      <c r="C30" s="4">
        <f>datos23!G14</f>
        <v>0.11004480355845332</v>
      </c>
      <c r="L30" s="2" t="s">
        <v>21</v>
      </c>
      <c r="M30" s="27">
        <f>datos23!G51</f>
        <v>0.13406836569580069</v>
      </c>
    </row>
    <row r="31" spans="2:13" x14ac:dyDescent="0.3">
      <c r="B31" s="2" t="s">
        <v>22</v>
      </c>
      <c r="C31" s="4">
        <f>datos23!G15</f>
        <v>0.11855668677418162</v>
      </c>
      <c r="L31" s="2" t="s">
        <v>22</v>
      </c>
      <c r="M31" s="27">
        <f>datos23!G52</f>
        <v>0.14719606741591415</v>
      </c>
    </row>
    <row r="32" spans="2:13" x14ac:dyDescent="0.3">
      <c r="B32" s="2" t="s">
        <v>23</v>
      </c>
      <c r="C32" s="4">
        <f>datos23!G16</f>
        <v>0.11800532195876876</v>
      </c>
      <c r="L32" s="2" t="s">
        <v>23</v>
      </c>
      <c r="M32" s="27">
        <f>datos23!G53</f>
        <v>8.3473984902727602E-2</v>
      </c>
    </row>
    <row r="33" spans="2:13" x14ac:dyDescent="0.3">
      <c r="B33" s="19" t="s">
        <v>62</v>
      </c>
      <c r="C33" s="6">
        <f>datos23!G19</f>
        <v>8.4701111535063961E-2</v>
      </c>
      <c r="L33" s="29" t="s">
        <v>25</v>
      </c>
      <c r="M33" s="6">
        <f>datos23!G56</f>
        <v>9.8000566953989968E-2</v>
      </c>
    </row>
    <row r="34" spans="2:13" x14ac:dyDescent="0.3">
      <c r="B34" s="5"/>
      <c r="C34" s="6"/>
    </row>
    <row r="35" spans="2:13" ht="18" x14ac:dyDescent="0.35">
      <c r="B35" s="16" t="s">
        <v>18</v>
      </c>
      <c r="L35" s="16"/>
    </row>
    <row r="36" spans="2:13" x14ac:dyDescent="0.3">
      <c r="C36" s="2" t="s">
        <v>12</v>
      </c>
      <c r="M36" s="2" t="s">
        <v>12</v>
      </c>
    </row>
    <row r="37" spans="2:13" x14ac:dyDescent="0.3">
      <c r="B37" s="2" t="s">
        <v>0</v>
      </c>
      <c r="C37" s="4">
        <f>datos23!I5</f>
        <v>1.752051358049728E-2</v>
      </c>
      <c r="L37" s="2" t="s">
        <v>0</v>
      </c>
      <c r="M37" s="4">
        <f>datos23!I42</f>
        <v>1.752051358049728E-2</v>
      </c>
    </row>
    <row r="38" spans="2:13" x14ac:dyDescent="0.3">
      <c r="B38" s="2" t="s">
        <v>1</v>
      </c>
      <c r="C38" s="4">
        <f>datos23!I6</f>
        <v>1.4921019161644681E-2</v>
      </c>
      <c r="L38" s="2" t="s">
        <v>1</v>
      </c>
      <c r="M38" s="4">
        <f>datos23!I43</f>
        <v>1.4921019161644681E-2</v>
      </c>
    </row>
    <row r="39" spans="2:13" x14ac:dyDescent="0.3">
      <c r="B39" s="2" t="s">
        <v>2</v>
      </c>
      <c r="C39" s="4">
        <f>datos23!I7</f>
        <v>1.6927705866392143E-2</v>
      </c>
      <c r="L39" s="2" t="s">
        <v>2</v>
      </c>
      <c r="M39" s="4">
        <f>datos23!I44</f>
        <v>1.6927705866392143E-2</v>
      </c>
    </row>
    <row r="40" spans="2:13" x14ac:dyDescent="0.3">
      <c r="B40" s="2" t="s">
        <v>3</v>
      </c>
      <c r="C40" s="4">
        <f>datos23!I8</f>
        <v>1.0507392499167822E-2</v>
      </c>
      <c r="L40" s="2" t="s">
        <v>3</v>
      </c>
      <c r="M40" s="4">
        <f>datos23!I45</f>
        <v>1.0507392499167822E-2</v>
      </c>
    </row>
    <row r="41" spans="2:13" x14ac:dyDescent="0.3">
      <c r="B41" s="2" t="s">
        <v>4</v>
      </c>
      <c r="C41" s="4">
        <f>datos23!I9</f>
        <v>3.328201897405865E-2</v>
      </c>
      <c r="L41" s="2" t="s">
        <v>4</v>
      </c>
      <c r="M41" s="4">
        <f>datos23!I46</f>
        <v>3.328201897405865E-2</v>
      </c>
    </row>
    <row r="42" spans="2:13" x14ac:dyDescent="0.3">
      <c r="B42" s="2" t="s">
        <v>5</v>
      </c>
      <c r="C42" s="4">
        <f>datos23!I10</f>
        <v>1.4904808382163529E-2</v>
      </c>
      <c r="L42" s="2" t="s">
        <v>5</v>
      </c>
      <c r="M42" s="4">
        <f>datos23!I47</f>
        <v>1.4904808382163529E-2</v>
      </c>
    </row>
    <row r="43" spans="2:13" x14ac:dyDescent="0.3">
      <c r="B43" s="2" t="s">
        <v>6</v>
      </c>
      <c r="C43" s="4">
        <f>datos23!I11</f>
        <v>1.5638626483506463E-2</v>
      </c>
      <c r="L43" s="2" t="s">
        <v>6</v>
      </c>
      <c r="M43" s="4">
        <f>datos23!I48</f>
        <v>1.5638626483506463E-2</v>
      </c>
    </row>
    <row r="44" spans="2:13" x14ac:dyDescent="0.3">
      <c r="B44" s="2" t="s">
        <v>16</v>
      </c>
      <c r="C44" s="4">
        <f>datos23!I12+datos23!I30</f>
        <v>1.1924848372365422E-2</v>
      </c>
      <c r="L44" s="2" t="s">
        <v>16</v>
      </c>
      <c r="M44" s="27">
        <f>datos23!I49</f>
        <v>1.4962327286318052E-2</v>
      </c>
    </row>
    <row r="45" spans="2:13" x14ac:dyDescent="0.3">
      <c r="B45" s="2" t="s">
        <v>20</v>
      </c>
      <c r="C45" s="4">
        <f>datos23!I13</f>
        <v>1.3683358655577467E-2</v>
      </c>
      <c r="L45" s="2" t="s">
        <v>20</v>
      </c>
      <c r="M45" s="27">
        <f>datos23!I50</f>
        <v>1.6488816655197788E-2</v>
      </c>
    </row>
    <row r="46" spans="2:13" x14ac:dyDescent="0.3">
      <c r="B46" s="2" t="s">
        <v>21</v>
      </c>
      <c r="C46" s="4">
        <f>datos23!I14</f>
        <v>1.4326264577097453E-2</v>
      </c>
      <c r="L46" s="2" t="s">
        <v>21</v>
      </c>
      <c r="M46" s="27">
        <f>datos23!I51</f>
        <v>1.7624945244816229E-2</v>
      </c>
    </row>
    <row r="47" spans="2:13" x14ac:dyDescent="0.3">
      <c r="B47" s="2" t="s">
        <v>22</v>
      </c>
      <c r="C47" s="4">
        <f>datos23!I15</f>
        <v>2.6632853320501318E-2</v>
      </c>
      <c r="L47" s="2" t="s">
        <v>22</v>
      </c>
      <c r="M47" s="27">
        <f>datos23!I52</f>
        <v>3.2815129807998625E-2</v>
      </c>
    </row>
    <row r="48" spans="2:13" x14ac:dyDescent="0.3">
      <c r="B48" s="2" t="s">
        <v>23</v>
      </c>
      <c r="C48" s="4">
        <f>datos23!I16</f>
        <v>1.1125203853373292E-2</v>
      </c>
      <c r="L48" s="2" t="s">
        <v>23</v>
      </c>
      <c r="M48" s="27">
        <f>datos23!I53</f>
        <v>1.436580810040595E-2</v>
      </c>
    </row>
    <row r="49" spans="2:16" x14ac:dyDescent="0.3">
      <c r="B49" s="2"/>
      <c r="C49" s="4"/>
    </row>
    <row r="50" spans="2:16" x14ac:dyDescent="0.3">
      <c r="B50" s="19" t="s">
        <v>62</v>
      </c>
      <c r="C50" s="6">
        <f>datos23!I19</f>
        <v>1.3540315833292958E-2</v>
      </c>
      <c r="L50" s="19" t="s">
        <v>62</v>
      </c>
      <c r="M50" s="6">
        <f>datos23!I56</f>
        <v>1.7020672370086636E-2</v>
      </c>
      <c r="N50" s="6"/>
    </row>
    <row r="52" spans="2:16" ht="18" x14ac:dyDescent="0.35">
      <c r="B52" s="16"/>
      <c r="E52" s="31"/>
      <c r="F52" s="32"/>
      <c r="L52" s="16"/>
      <c r="O52" s="8"/>
      <c r="P52" s="5"/>
    </row>
    <row r="53" spans="2:16" x14ac:dyDescent="0.3">
      <c r="C53" s="2"/>
      <c r="M53" s="2"/>
    </row>
    <row r="54" spans="2:16" x14ac:dyDescent="0.3">
      <c r="B54" s="2"/>
      <c r="C54" s="3"/>
      <c r="L54" s="2"/>
      <c r="M54" s="3"/>
    </row>
    <row r="55" spans="2:16" x14ac:dyDescent="0.3">
      <c r="B55" s="2"/>
      <c r="C55" s="3"/>
      <c r="L55" s="2"/>
      <c r="M55" s="3"/>
    </row>
    <row r="56" spans="2:16" x14ac:dyDescent="0.3">
      <c r="B56" s="2"/>
      <c r="C56" s="3"/>
      <c r="L56" s="2"/>
      <c r="M56" s="3"/>
    </row>
    <row r="57" spans="2:16" x14ac:dyDescent="0.3">
      <c r="B57" s="2"/>
      <c r="C57" s="3"/>
      <c r="L57" s="2"/>
      <c r="M57" s="3"/>
    </row>
    <row r="58" spans="2:16" x14ac:dyDescent="0.3">
      <c r="B58" s="2"/>
      <c r="C58" s="3"/>
      <c r="L58" s="2"/>
      <c r="M58" s="3"/>
    </row>
    <row r="59" spans="2:16" x14ac:dyDescent="0.3">
      <c r="B59" s="2"/>
      <c r="C59" s="3"/>
      <c r="L59" s="2"/>
      <c r="M59" s="3"/>
    </row>
    <row r="60" spans="2:16" x14ac:dyDescent="0.3">
      <c r="B60" s="2"/>
      <c r="C60" s="3"/>
      <c r="L60" s="2"/>
      <c r="M60" s="3"/>
    </row>
    <row r="61" spans="2:16" x14ac:dyDescent="0.3">
      <c r="B61" s="2"/>
      <c r="C61" s="3"/>
      <c r="L61" s="2"/>
      <c r="M61" s="3"/>
    </row>
    <row r="62" spans="2:16" x14ac:dyDescent="0.3">
      <c r="B62" s="2"/>
      <c r="C62" s="3"/>
      <c r="L62" s="2"/>
      <c r="M62" s="3"/>
    </row>
    <row r="63" spans="2:16" x14ac:dyDescent="0.3">
      <c r="B63" s="2"/>
      <c r="C63" s="3"/>
      <c r="L63" s="2"/>
      <c r="M63" s="3"/>
    </row>
    <row r="64" spans="2:16" x14ac:dyDescent="0.3">
      <c r="B64" s="2"/>
      <c r="C64" s="3"/>
      <c r="L64" s="2"/>
      <c r="M64" s="3"/>
    </row>
    <row r="65" spans="2:13" x14ac:dyDescent="0.3">
      <c r="B65" s="2"/>
      <c r="C65" s="3"/>
      <c r="L65" s="2"/>
      <c r="M65" s="3"/>
    </row>
    <row r="66" spans="2:13" x14ac:dyDescent="0.3">
      <c r="B66" s="19"/>
      <c r="C66" s="7"/>
      <c r="L66" s="19"/>
      <c r="M66" s="7"/>
    </row>
    <row r="67" spans="2:13" x14ac:dyDescent="0.3">
      <c r="B67" s="19"/>
      <c r="C67" s="7"/>
      <c r="L67" s="19"/>
      <c r="M67" s="7"/>
    </row>
  </sheetData>
  <pageMargins left="0.7" right="0.7" top="0.75" bottom="0.75" header="0.3" footer="0.3"/>
  <pageSetup orientation="landscape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56"/>
  <sheetViews>
    <sheetView topLeftCell="A31" workbookViewId="0">
      <selection activeCell="B1" sqref="B1"/>
    </sheetView>
  </sheetViews>
  <sheetFormatPr baseColWidth="10" defaultRowHeight="14.4" x14ac:dyDescent="0.3"/>
  <cols>
    <col min="8" max="8" width="12.6640625" customWidth="1"/>
    <col min="9" max="9" width="13.6640625" customWidth="1"/>
    <col min="10" max="10" width="11.6640625" customWidth="1"/>
  </cols>
  <sheetData>
    <row r="2" spans="2:10" x14ac:dyDescent="0.3">
      <c r="B2" s="38" t="s">
        <v>38</v>
      </c>
      <c r="C2" s="39"/>
    </row>
    <row r="3" spans="2:10" x14ac:dyDescent="0.3">
      <c r="B3" s="1" t="s">
        <v>27</v>
      </c>
      <c r="C3" s="2">
        <v>4156946</v>
      </c>
    </row>
    <row r="4" spans="2:10" x14ac:dyDescent="0.3">
      <c r="B4" s="50"/>
      <c r="C4" s="51" t="s">
        <v>7</v>
      </c>
      <c r="D4" s="51" t="s">
        <v>8</v>
      </c>
      <c r="E4" s="51" t="s">
        <v>10</v>
      </c>
      <c r="F4" s="51" t="s">
        <v>9</v>
      </c>
      <c r="G4" s="51" t="s">
        <v>13</v>
      </c>
      <c r="H4" s="51" t="s">
        <v>11</v>
      </c>
      <c r="I4" s="51" t="s">
        <v>12</v>
      </c>
      <c r="J4" s="51" t="s">
        <v>26</v>
      </c>
    </row>
    <row r="5" spans="2:10" x14ac:dyDescent="0.3">
      <c r="B5" s="49" t="s">
        <v>0</v>
      </c>
      <c r="C5" s="11">
        <f>97880+151505+47350</f>
        <v>296735</v>
      </c>
      <c r="D5" s="11">
        <v>18286055.280000001</v>
      </c>
      <c r="E5" s="12">
        <v>805.5</v>
      </c>
      <c r="F5" s="11">
        <f>D5/E5</f>
        <v>22701.496312849162</v>
      </c>
      <c r="G5" s="14">
        <f>F5/C5</f>
        <v>7.6504275912343211E-2</v>
      </c>
      <c r="H5" s="11">
        <v>2196843</v>
      </c>
      <c r="I5" s="15">
        <f>F5/H5</f>
        <v>1.0333690806693588E-2</v>
      </c>
      <c r="J5" s="22">
        <f>C5/H5</f>
        <v>0.13507337574874489</v>
      </c>
    </row>
    <row r="6" spans="2:10" x14ac:dyDescent="0.3">
      <c r="B6" s="49" t="s">
        <v>1</v>
      </c>
      <c r="C6" s="11">
        <f>111425+169940+66270</f>
        <v>347635</v>
      </c>
      <c r="D6" s="11">
        <v>29363562.32</v>
      </c>
      <c r="E6" s="12">
        <v>841.7</v>
      </c>
      <c r="F6" s="11">
        <f t="shared" ref="F6:F16" si="0">D6/E6</f>
        <v>34886.019151716762</v>
      </c>
      <c r="G6" s="14">
        <f t="shared" ref="G6:G16" si="1">F6/C6</f>
        <v>0.10035243618081252</v>
      </c>
      <c r="H6" s="53">
        <v>2969960</v>
      </c>
      <c r="I6" s="15">
        <f t="shared" ref="I6:I16" si="2">F6/H6</f>
        <v>1.174629259374428E-2</v>
      </c>
      <c r="J6" s="22">
        <f t="shared" ref="J6:J16" si="3">C6/H6</f>
        <v>0.11705039798515805</v>
      </c>
    </row>
    <row r="7" spans="2:10" x14ac:dyDescent="0.3">
      <c r="B7" s="49" t="s">
        <v>2</v>
      </c>
      <c r="C7" s="11">
        <v>319955</v>
      </c>
      <c r="D7" s="11">
        <v>32216987</v>
      </c>
      <c r="E7" s="12">
        <v>858</v>
      </c>
      <c r="F7" s="11">
        <f t="shared" si="0"/>
        <v>37548.935897435898</v>
      </c>
      <c r="G7" s="14">
        <f t="shared" si="1"/>
        <v>0.11735692799748683</v>
      </c>
      <c r="H7" s="11">
        <v>1867230</v>
      </c>
      <c r="I7" s="15">
        <f t="shared" si="2"/>
        <v>2.0109432634135001E-2</v>
      </c>
      <c r="J7" s="22">
        <f t="shared" si="3"/>
        <v>0.17135275247291443</v>
      </c>
    </row>
    <row r="8" spans="2:10" x14ac:dyDescent="0.3">
      <c r="B8" s="49" t="s">
        <v>3</v>
      </c>
      <c r="C8" s="11">
        <v>313960</v>
      </c>
      <c r="D8" s="11">
        <v>31715558</v>
      </c>
      <c r="E8" s="12">
        <v>888</v>
      </c>
      <c r="F8" s="11">
        <f t="shared" si="0"/>
        <v>35715.718468468469</v>
      </c>
      <c r="G8" s="14">
        <f t="shared" si="1"/>
        <v>0.1137588179018616</v>
      </c>
      <c r="H8" s="11">
        <v>2025427</v>
      </c>
      <c r="I8" s="15">
        <f t="shared" si="2"/>
        <v>1.7633673525863171E-2</v>
      </c>
      <c r="J8" s="22">
        <f t="shared" si="3"/>
        <v>0.15500928939922298</v>
      </c>
    </row>
    <row r="9" spans="2:10" x14ac:dyDescent="0.3">
      <c r="B9" s="49" t="s">
        <v>4</v>
      </c>
      <c r="C9" s="11">
        <v>370005</v>
      </c>
      <c r="D9" s="11">
        <v>35697362</v>
      </c>
      <c r="E9" s="12">
        <v>906</v>
      </c>
      <c r="F9" s="11">
        <f t="shared" si="0"/>
        <v>39401.061810154526</v>
      </c>
      <c r="G9" s="14">
        <f t="shared" si="1"/>
        <v>0.10648791721775254</v>
      </c>
      <c r="H9" s="11">
        <v>3160491</v>
      </c>
      <c r="I9" s="15">
        <f t="shared" si="2"/>
        <v>1.2466753365269676E-2</v>
      </c>
      <c r="J9" s="22">
        <f t="shared" si="3"/>
        <v>0.11707199925581184</v>
      </c>
    </row>
    <row r="10" spans="2:10" x14ac:dyDescent="0.3">
      <c r="B10" s="49" t="s">
        <v>5</v>
      </c>
      <c r="C10" s="11">
        <v>249650</v>
      </c>
      <c r="D10" s="11">
        <v>39545373</v>
      </c>
      <c r="E10" s="12">
        <v>923</v>
      </c>
      <c r="F10" s="11">
        <f t="shared" si="0"/>
        <v>42844.39111592633</v>
      </c>
      <c r="G10" s="14">
        <f t="shared" si="1"/>
        <v>0.17161782942490017</v>
      </c>
      <c r="H10" s="11">
        <v>1746477</v>
      </c>
      <c r="I10" s="15">
        <f t="shared" si="2"/>
        <v>2.453189541913597E-2</v>
      </c>
      <c r="J10" s="22">
        <f t="shared" si="3"/>
        <v>0.14294491138446141</v>
      </c>
    </row>
    <row r="11" spans="2:10" x14ac:dyDescent="0.3">
      <c r="B11" s="49" t="s">
        <v>6</v>
      </c>
      <c r="C11" s="11">
        <v>381437</v>
      </c>
      <c r="D11" s="11">
        <v>46807707</v>
      </c>
      <c r="E11" s="12">
        <v>942</v>
      </c>
      <c r="F11" s="11">
        <f t="shared" si="0"/>
        <v>49689.710191082806</v>
      </c>
      <c r="G11" s="14">
        <f t="shared" si="1"/>
        <v>0.13026976982065927</v>
      </c>
      <c r="H11" s="11">
        <v>2603936</v>
      </c>
      <c r="I11" s="15">
        <f t="shared" si="2"/>
        <v>1.9082538968347457E-2</v>
      </c>
      <c r="J11" s="22">
        <f t="shared" si="3"/>
        <v>0.14648478303614221</v>
      </c>
    </row>
    <row r="12" spans="2:10" x14ac:dyDescent="0.3">
      <c r="B12" s="49" t="s">
        <v>16</v>
      </c>
      <c r="C12" s="11">
        <v>371130</v>
      </c>
      <c r="D12" s="11">
        <v>47316894</v>
      </c>
      <c r="E12" s="12">
        <v>961</v>
      </c>
      <c r="F12" s="11">
        <f t="shared" si="0"/>
        <v>49237.142559833504</v>
      </c>
      <c r="G12" s="14">
        <f t="shared" si="1"/>
        <v>0.13266818246930592</v>
      </c>
      <c r="H12" s="11">
        <v>1407612</v>
      </c>
      <c r="I12" s="15">
        <f t="shared" si="2"/>
        <v>3.4979200631874055E-2</v>
      </c>
      <c r="J12" s="22">
        <f t="shared" si="3"/>
        <v>0.263659303842252</v>
      </c>
    </row>
    <row r="13" spans="2:10" x14ac:dyDescent="0.3">
      <c r="B13" s="49" t="s">
        <v>20</v>
      </c>
      <c r="C13" s="11">
        <v>311615</v>
      </c>
      <c r="D13" s="11">
        <v>44268944</v>
      </c>
      <c r="E13" s="12">
        <v>991</v>
      </c>
      <c r="F13" s="11">
        <f t="shared" si="0"/>
        <v>44670.982845610495</v>
      </c>
      <c r="G13" s="14">
        <f t="shared" si="1"/>
        <v>0.14335312114503632</v>
      </c>
      <c r="H13" s="11">
        <v>2218621</v>
      </c>
      <c r="I13" s="15">
        <f t="shared" si="2"/>
        <v>2.0134571360142402E-2</v>
      </c>
      <c r="J13" s="22">
        <f t="shared" si="3"/>
        <v>0.14045436331847574</v>
      </c>
    </row>
    <row r="14" spans="2:10" x14ac:dyDescent="0.3">
      <c r="B14" s="49" t="s">
        <v>21</v>
      </c>
      <c r="C14" s="11">
        <v>374735</v>
      </c>
      <c r="D14" s="11">
        <v>59088960</v>
      </c>
      <c r="E14" s="12">
        <v>972</v>
      </c>
      <c r="F14" s="11">
        <f t="shared" si="0"/>
        <v>60791.111111111109</v>
      </c>
      <c r="G14" s="14">
        <f t="shared" si="1"/>
        <v>0.16222426811242907</v>
      </c>
      <c r="H14" s="11">
        <v>2887852</v>
      </c>
      <c r="I14" s="15">
        <f t="shared" si="2"/>
        <v>2.1050632480858127E-2</v>
      </c>
      <c r="J14" s="22">
        <f t="shared" si="3"/>
        <v>0.12976253630726228</v>
      </c>
    </row>
    <row r="15" spans="2:10" x14ac:dyDescent="0.3">
      <c r="B15" s="49" t="s">
        <v>22</v>
      </c>
      <c r="C15" s="11">
        <v>409235</v>
      </c>
      <c r="D15" s="11">
        <v>54475169</v>
      </c>
      <c r="E15" s="12">
        <v>979</v>
      </c>
      <c r="F15" s="11">
        <f t="shared" si="0"/>
        <v>55643.686414708885</v>
      </c>
      <c r="G15" s="14">
        <f t="shared" si="1"/>
        <v>0.13597000846630636</v>
      </c>
      <c r="H15" s="11">
        <v>2949273</v>
      </c>
      <c r="I15" s="15">
        <f t="shared" si="2"/>
        <v>1.8866916156866077E-2</v>
      </c>
      <c r="J15" s="22">
        <f t="shared" si="3"/>
        <v>0.13875792441052423</v>
      </c>
    </row>
    <row r="16" spans="2:10" x14ac:dyDescent="0.3">
      <c r="B16" s="49" t="s">
        <v>23</v>
      </c>
      <c r="C16" s="11">
        <v>230130</v>
      </c>
      <c r="D16" s="11">
        <v>37072281</v>
      </c>
      <c r="E16" s="12">
        <v>1002</v>
      </c>
      <c r="F16" s="11">
        <f t="shared" si="0"/>
        <v>36998.284431137727</v>
      </c>
      <c r="G16" s="14">
        <f t="shared" si="1"/>
        <v>0.1607712355239983</v>
      </c>
      <c r="H16" s="11">
        <v>1062953</v>
      </c>
      <c r="I16" s="15">
        <f t="shared" si="2"/>
        <v>3.4807074660062796E-2</v>
      </c>
      <c r="J16" s="22">
        <f t="shared" si="3"/>
        <v>0.21650063549376125</v>
      </c>
    </row>
    <row r="18" spans="2:10" x14ac:dyDescent="0.3">
      <c r="B18" s="17" t="s">
        <v>24</v>
      </c>
      <c r="C18" s="55">
        <f>SUM(C5:C16)</f>
        <v>3976222</v>
      </c>
      <c r="D18" s="18"/>
      <c r="E18" s="18"/>
      <c r="F18" s="55">
        <f>SUM(F5:F16)</f>
        <v>510128.54031003563</v>
      </c>
      <c r="G18" s="18"/>
      <c r="H18" s="55">
        <f>SUM(H5:H16)</f>
        <v>27096675</v>
      </c>
    </row>
    <row r="19" spans="2:10" x14ac:dyDescent="0.3">
      <c r="B19" s="28" t="s">
        <v>74</v>
      </c>
      <c r="C19" s="21"/>
      <c r="D19" s="21"/>
      <c r="E19" s="21"/>
      <c r="F19" s="21"/>
      <c r="G19" s="33">
        <f>(G5*F5+G6*F6+G7*F7+G8*F8+G9*F9+G10*F10+G11*F11+G12*F12+G13*F13+G14*F14+G15*F15+G16*F16)/F18</f>
        <v>0.13337968242330456</v>
      </c>
      <c r="H19" s="2"/>
      <c r="I19" s="33">
        <f>(I5*H5+I6*H6+I7*H7+I8*H8+I9*H9+I10*H10+I11*H11+I12*H12+I13*H13+I14*H14+H15*I15+H16*I16)/H18</f>
        <v>1.8826241238455849E-2</v>
      </c>
      <c r="J19" s="33">
        <f>(J5*H5+J6*H6+J7*H7+J8*H8+J9*H9+J10*H10+J11*J11+J12*H12+J13*H13+J14*H14+J15*H15+J16*H16)/H18</f>
        <v>0.13266517096499078</v>
      </c>
    </row>
    <row r="21" spans="2:10" x14ac:dyDescent="0.3">
      <c r="B21" s="38" t="s">
        <v>27</v>
      </c>
      <c r="C21" s="40">
        <v>107552</v>
      </c>
      <c r="D21" s="1" t="s">
        <v>31</v>
      </c>
    </row>
    <row r="22" spans="2:10" x14ac:dyDescent="0.3">
      <c r="B22" s="50"/>
      <c r="C22" s="51" t="s">
        <v>7</v>
      </c>
      <c r="D22" s="51" t="s">
        <v>8</v>
      </c>
      <c r="E22" s="51" t="s">
        <v>10</v>
      </c>
      <c r="F22" s="51" t="s">
        <v>9</v>
      </c>
      <c r="G22" s="51" t="s">
        <v>13</v>
      </c>
      <c r="H22" s="51" t="s">
        <v>28</v>
      </c>
      <c r="I22" s="51" t="s">
        <v>30</v>
      </c>
      <c r="J22" s="51" t="s">
        <v>29</v>
      </c>
    </row>
    <row r="23" spans="2:10" x14ac:dyDescent="0.3">
      <c r="B23" s="49" t="s">
        <v>0</v>
      </c>
      <c r="C23" s="11">
        <v>1373</v>
      </c>
      <c r="D23" s="11">
        <v>5079576</v>
      </c>
      <c r="E23" s="12">
        <v>805.5</v>
      </c>
      <c r="F23" s="11">
        <f t="shared" ref="F23:F24" si="4">D23/E23</f>
        <v>6306.1154562383608</v>
      </c>
      <c r="G23" s="52">
        <f t="shared" ref="G23:G24" si="5">F23/C23</f>
        <v>4.5929464357162129</v>
      </c>
      <c r="H23" s="11">
        <v>19958</v>
      </c>
      <c r="I23" s="15">
        <f t="shared" ref="I23:I24" si="6">F23/H23</f>
        <v>0.31596930835947296</v>
      </c>
      <c r="J23" s="22">
        <f t="shared" ref="J23:J24" si="7">C23/H23</f>
        <v>6.8794468383605575E-2</v>
      </c>
    </row>
    <row r="24" spans="2:10" x14ac:dyDescent="0.3">
      <c r="B24" s="49" t="s">
        <v>1</v>
      </c>
      <c r="C24" s="11">
        <v>1352</v>
      </c>
      <c r="D24" s="11">
        <v>5004675</v>
      </c>
      <c r="E24" s="12">
        <v>841.7</v>
      </c>
      <c r="F24" s="11">
        <f t="shared" si="4"/>
        <v>5945.9130331472015</v>
      </c>
      <c r="G24" s="52">
        <f t="shared" si="5"/>
        <v>4.3978646694875749</v>
      </c>
      <c r="H24" s="11">
        <v>15358</v>
      </c>
      <c r="I24" s="15">
        <f t="shared" si="6"/>
        <v>0.3871541237887226</v>
      </c>
      <c r="J24" s="22">
        <f t="shared" si="7"/>
        <v>8.8032295871858318E-2</v>
      </c>
    </row>
    <row r="25" spans="2:10" x14ac:dyDescent="0.3">
      <c r="B25" s="49" t="s">
        <v>2</v>
      </c>
      <c r="C25" s="11">
        <v>1863</v>
      </c>
      <c r="D25" s="11">
        <v>6894514</v>
      </c>
      <c r="E25" s="12">
        <v>858</v>
      </c>
      <c r="F25" s="11">
        <f t="shared" ref="F25:F34" si="8">D25/E25</f>
        <v>8035.5641025641025</v>
      </c>
      <c r="G25" s="52">
        <f t="shared" ref="G25:G34" si="9">F25/C25</f>
        <v>4.3132389171036518</v>
      </c>
      <c r="H25" s="11">
        <v>0</v>
      </c>
      <c r="I25" s="15"/>
      <c r="J25" s="22"/>
    </row>
    <row r="26" spans="2:10" x14ac:dyDescent="0.3">
      <c r="B26" s="49" t="s">
        <v>3</v>
      </c>
      <c r="C26" s="11">
        <v>1863</v>
      </c>
      <c r="D26" s="11">
        <v>6894514</v>
      </c>
      <c r="E26" s="12">
        <v>888</v>
      </c>
      <c r="F26" s="11">
        <f t="shared" si="8"/>
        <v>7764.0923423423419</v>
      </c>
      <c r="G26" s="52">
        <f t="shared" si="9"/>
        <v>4.1675213861204199</v>
      </c>
      <c r="H26" s="11">
        <v>11472</v>
      </c>
      <c r="I26" s="15">
        <f t="shared" ref="I26:I34" si="10">F26/H26</f>
        <v>0.67678629204518326</v>
      </c>
      <c r="J26" s="22">
        <f t="shared" ref="J26:J34" si="11">C26/H26</f>
        <v>0.16239539748953974</v>
      </c>
    </row>
    <row r="27" spans="2:10" x14ac:dyDescent="0.3">
      <c r="B27" s="49" t="s">
        <v>4</v>
      </c>
      <c r="C27" s="11">
        <v>2052</v>
      </c>
      <c r="D27" s="11">
        <v>7593209</v>
      </c>
      <c r="E27" s="12">
        <v>906</v>
      </c>
      <c r="F27" s="11">
        <f t="shared" si="8"/>
        <v>8381.0253863134658</v>
      </c>
      <c r="G27" s="52">
        <f t="shared" si="9"/>
        <v>4.0843203637005194</v>
      </c>
      <c r="H27" s="11">
        <v>11664</v>
      </c>
      <c r="I27" s="15">
        <f t="shared" si="10"/>
        <v>0.71853784176212843</v>
      </c>
      <c r="J27" s="22">
        <f t="shared" si="11"/>
        <v>0.17592592592592593</v>
      </c>
    </row>
    <row r="28" spans="2:10" x14ac:dyDescent="0.3">
      <c r="B28" s="49" t="s">
        <v>5</v>
      </c>
      <c r="C28" s="11">
        <v>3948</v>
      </c>
      <c r="D28" s="11">
        <v>8967410</v>
      </c>
      <c r="E28" s="12">
        <v>923</v>
      </c>
      <c r="F28" s="11">
        <f t="shared" si="8"/>
        <v>9715.5037919826646</v>
      </c>
      <c r="G28" s="52">
        <f t="shared" si="9"/>
        <v>2.4608672218801075</v>
      </c>
      <c r="H28" s="11">
        <v>7200</v>
      </c>
      <c r="I28" s="15">
        <f t="shared" si="10"/>
        <v>1.3493755266642589</v>
      </c>
      <c r="J28" s="22">
        <f t="shared" si="11"/>
        <v>0.54833333333333334</v>
      </c>
    </row>
    <row r="29" spans="2:10" x14ac:dyDescent="0.3">
      <c r="B29" s="49" t="s">
        <v>6</v>
      </c>
      <c r="C29" s="11">
        <v>3855</v>
      </c>
      <c r="D29" s="11">
        <v>8756736</v>
      </c>
      <c r="E29" s="12">
        <v>942</v>
      </c>
      <c r="F29" s="11">
        <f t="shared" si="8"/>
        <v>9295.8980891719748</v>
      </c>
      <c r="G29" s="52">
        <f t="shared" si="9"/>
        <v>2.411387312366271</v>
      </c>
      <c r="H29" s="11">
        <v>4896</v>
      </c>
      <c r="I29" s="15">
        <f t="shared" si="10"/>
        <v>1.8986719953374132</v>
      </c>
      <c r="J29" s="22">
        <f t="shared" si="11"/>
        <v>0.78737745098039214</v>
      </c>
    </row>
    <row r="30" spans="2:10" x14ac:dyDescent="0.3">
      <c r="B30" s="49" t="s">
        <v>16</v>
      </c>
      <c r="C30" s="11">
        <v>4032</v>
      </c>
      <c r="D30" s="11">
        <v>9157682</v>
      </c>
      <c r="E30" s="12">
        <v>961</v>
      </c>
      <c r="F30" s="11">
        <f t="shared" si="8"/>
        <v>9529.3257023933402</v>
      </c>
      <c r="G30" s="52">
        <f t="shared" si="9"/>
        <v>2.3634240333316816</v>
      </c>
      <c r="H30" s="11">
        <v>11280</v>
      </c>
      <c r="I30" s="15">
        <f t="shared" si="10"/>
        <v>0.84479837787175005</v>
      </c>
      <c r="J30" s="22">
        <f t="shared" si="11"/>
        <v>0.35744680851063831</v>
      </c>
    </row>
    <row r="31" spans="2:10" x14ac:dyDescent="0.3">
      <c r="B31" s="49" t="s">
        <v>20</v>
      </c>
      <c r="C31" s="11">
        <v>5544</v>
      </c>
      <c r="D31" s="11">
        <v>9473662</v>
      </c>
      <c r="E31" s="12">
        <v>991</v>
      </c>
      <c r="F31" s="11">
        <f t="shared" si="8"/>
        <v>9559.6992936427851</v>
      </c>
      <c r="G31" s="52">
        <f t="shared" si="9"/>
        <v>1.7243324844233017</v>
      </c>
      <c r="H31" s="11">
        <v>7728</v>
      </c>
      <c r="I31" s="15">
        <f t="shared" si="10"/>
        <v>1.23702113012976</v>
      </c>
      <c r="J31" s="22">
        <f t="shared" si="11"/>
        <v>0.71739130434782605</v>
      </c>
    </row>
    <row r="32" spans="2:10" x14ac:dyDescent="0.3">
      <c r="B32" s="49" t="s">
        <v>21</v>
      </c>
      <c r="C32" s="11">
        <v>4932</v>
      </c>
      <c r="D32" s="11">
        <v>14342392</v>
      </c>
      <c r="E32" s="12">
        <v>972</v>
      </c>
      <c r="F32" s="11">
        <f t="shared" si="8"/>
        <v>14755.54732510288</v>
      </c>
      <c r="G32" s="52">
        <f t="shared" si="9"/>
        <v>2.9917979166875264</v>
      </c>
      <c r="H32" s="11">
        <v>13104</v>
      </c>
      <c r="I32" s="15">
        <f t="shared" si="10"/>
        <v>1.1260338312807447</v>
      </c>
      <c r="J32" s="22">
        <f t="shared" si="11"/>
        <v>0.37637362637362637</v>
      </c>
    </row>
    <row r="33" spans="1:10" x14ac:dyDescent="0.3">
      <c r="B33" s="49" t="s">
        <v>22</v>
      </c>
      <c r="C33" s="11">
        <v>5076</v>
      </c>
      <c r="D33" s="11">
        <v>14191349</v>
      </c>
      <c r="E33" s="12">
        <v>979</v>
      </c>
      <c r="F33" s="11">
        <f t="shared" si="8"/>
        <v>14495.759959141982</v>
      </c>
      <c r="G33" s="52">
        <f t="shared" si="9"/>
        <v>2.855744672801809</v>
      </c>
      <c r="H33" s="11">
        <v>34464</v>
      </c>
      <c r="I33" s="15">
        <f t="shared" si="10"/>
        <v>0.42060584839664528</v>
      </c>
      <c r="J33" s="22">
        <f t="shared" si="11"/>
        <v>0.14728412256267409</v>
      </c>
    </row>
    <row r="34" spans="1:10" x14ac:dyDescent="0.3">
      <c r="B34" s="49" t="s">
        <v>23</v>
      </c>
      <c r="C34" s="11">
        <v>6084</v>
      </c>
      <c r="D34" s="11">
        <v>14447495</v>
      </c>
      <c r="E34" s="12">
        <v>1002</v>
      </c>
      <c r="F34" s="11">
        <f t="shared" si="8"/>
        <v>14418.657684630738</v>
      </c>
      <c r="G34" s="52">
        <f t="shared" si="9"/>
        <v>2.369930585902488</v>
      </c>
      <c r="H34" s="11">
        <v>12480</v>
      </c>
      <c r="I34" s="15">
        <f t="shared" si="10"/>
        <v>1.1553411606274631</v>
      </c>
      <c r="J34" s="22">
        <f t="shared" si="11"/>
        <v>0.48749999999999999</v>
      </c>
    </row>
    <row r="36" spans="1:10" x14ac:dyDescent="0.3">
      <c r="B36" s="17" t="s">
        <v>24</v>
      </c>
      <c r="C36" s="18">
        <f>SUM(C23:C34)</f>
        <v>41974</v>
      </c>
      <c r="D36" s="18"/>
      <c r="E36" s="18"/>
      <c r="F36" s="18">
        <f>SUM(F23:F34)</f>
        <v>118203.10216667184</v>
      </c>
      <c r="G36" s="18"/>
      <c r="H36" s="18">
        <f>SUM(H23:H34)</f>
        <v>149604</v>
      </c>
    </row>
    <row r="37" spans="1:10" x14ac:dyDescent="0.3">
      <c r="B37" s="28" t="s">
        <v>74</v>
      </c>
      <c r="C37" s="21"/>
      <c r="D37" s="21"/>
      <c r="E37" s="21"/>
      <c r="F37" s="21"/>
      <c r="G37" s="34">
        <f>(G23*F23+G24*F24+G25*F25+G26*F26+G27*F27+G28*F28+G29*F29+G30*F30+G31*F31+G32*F32+G33*F33+G34*F34)/F36</f>
        <v>3.0574800654127037</v>
      </c>
      <c r="H37" s="2"/>
      <c r="I37" s="34">
        <f>(I23*H23+I24*H24+I25*H25+I26*H26+I27*H27+I28*H28+I29*H29+I30*H30+I31*H31+I32*H32+I33*H33+I34*H34)/H36</f>
        <v>0.73639433480460237</v>
      </c>
      <c r="J37" s="34">
        <f>(J23*H23+J24*H24+J25*H25+J26*H26+J27*H27+J28*H28+J29*J29+J30*H30+J31*H31+J32*H32+J33*H33+J34*H34)/H36</f>
        <v>0.24235060535313435</v>
      </c>
    </row>
    <row r="38" spans="1:10" x14ac:dyDescent="0.3">
      <c r="A38" s="24"/>
      <c r="B38" s="24"/>
      <c r="C38" s="24"/>
      <c r="D38" s="24"/>
      <c r="E38" s="24"/>
      <c r="F38" s="24"/>
      <c r="G38" s="23"/>
    </row>
    <row r="39" spans="1:10" x14ac:dyDescent="0.3">
      <c r="B39" s="46" t="s">
        <v>38</v>
      </c>
      <c r="C39" s="39"/>
    </row>
    <row r="40" spans="1:10" x14ac:dyDescent="0.3">
      <c r="B40" s="24" t="s">
        <v>41</v>
      </c>
      <c r="C40" s="2"/>
    </row>
    <row r="41" spans="1:10" x14ac:dyDescent="0.3">
      <c r="B41" s="50" t="s">
        <v>42</v>
      </c>
      <c r="C41" s="51" t="s">
        <v>7</v>
      </c>
      <c r="D41" s="51" t="s">
        <v>8</v>
      </c>
      <c r="E41" s="51" t="s">
        <v>10</v>
      </c>
      <c r="F41" s="51" t="s">
        <v>9</v>
      </c>
      <c r="G41" s="51" t="s">
        <v>13</v>
      </c>
      <c r="H41" s="51" t="s">
        <v>40</v>
      </c>
      <c r="I41" s="74" t="s">
        <v>39</v>
      </c>
      <c r="J41" s="51" t="s">
        <v>26</v>
      </c>
    </row>
    <row r="42" spans="1:10" x14ac:dyDescent="0.3">
      <c r="B42" s="49" t="s">
        <v>0</v>
      </c>
      <c r="C42" s="11">
        <f>C5+C23</f>
        <v>298108</v>
      </c>
      <c r="D42" s="11">
        <f t="shared" ref="D42:D53" si="12">D5+D23</f>
        <v>23365631.280000001</v>
      </c>
      <c r="E42" s="52">
        <v>805.5</v>
      </c>
      <c r="F42" s="11">
        <f>D42/E42</f>
        <v>29007.611769087525</v>
      </c>
      <c r="G42" s="14">
        <f>F42/C42</f>
        <v>9.7305713932828122E-2</v>
      </c>
      <c r="H42" s="11">
        <f t="shared" ref="H42:H53" si="13">H5+H23</f>
        <v>2216801</v>
      </c>
      <c r="I42" s="15">
        <f>F42/H42</f>
        <v>1.3085347655963493E-2</v>
      </c>
      <c r="J42" s="22">
        <f>C42/H42</f>
        <v>0.13447666254210458</v>
      </c>
    </row>
    <row r="43" spans="1:10" x14ac:dyDescent="0.3">
      <c r="B43" s="49" t="s">
        <v>1</v>
      </c>
      <c r="C43" s="11">
        <f>C6+C24</f>
        <v>348987</v>
      </c>
      <c r="D43" s="11">
        <f t="shared" si="12"/>
        <v>34368237.32</v>
      </c>
      <c r="E43" s="12">
        <f>E6</f>
        <v>841.7</v>
      </c>
      <c r="F43" s="11">
        <f t="shared" ref="F43" si="14">D43/E43</f>
        <v>40831.932184863967</v>
      </c>
      <c r="G43" s="14">
        <f t="shared" ref="G43:G44" si="15">F43/C43</f>
        <v>0.1170012985723364</v>
      </c>
      <c r="H43" s="11">
        <f t="shared" si="13"/>
        <v>2985318</v>
      </c>
      <c r="I43" s="15">
        <f t="shared" ref="I43" si="16">F43/H43</f>
        <v>1.367758214865685E-2</v>
      </c>
      <c r="J43" s="22">
        <f t="shared" ref="J43:J44" si="17">C43/H43</f>
        <v>0.11690111405217132</v>
      </c>
    </row>
    <row r="44" spans="1:10" x14ac:dyDescent="0.3">
      <c r="B44" s="49" t="s">
        <v>2</v>
      </c>
      <c r="C44" s="11">
        <f>C7+C25</f>
        <v>321818</v>
      </c>
      <c r="D44" s="11">
        <f t="shared" si="12"/>
        <v>39111501</v>
      </c>
      <c r="E44" s="12">
        <f>E7</f>
        <v>858</v>
      </c>
      <c r="F44" s="11">
        <f t="shared" ref="F44" si="18">D44/E44</f>
        <v>45584.5</v>
      </c>
      <c r="G44" s="14">
        <f t="shared" si="15"/>
        <v>0.14164683143888782</v>
      </c>
      <c r="H44" s="11">
        <f t="shared" si="13"/>
        <v>1867230</v>
      </c>
      <c r="I44" s="15">
        <f t="shared" ref="I44" si="19">F44/H44</f>
        <v>2.4412900392560104E-2</v>
      </c>
      <c r="J44" s="22">
        <f t="shared" si="17"/>
        <v>0.17235048708514752</v>
      </c>
    </row>
    <row r="45" spans="1:10" x14ac:dyDescent="0.3">
      <c r="B45" s="49" t="s">
        <v>3</v>
      </c>
      <c r="C45" s="11">
        <f t="shared" ref="C45:C53" si="20">C8+C26</f>
        <v>315823</v>
      </c>
      <c r="D45" s="11">
        <f t="shared" si="12"/>
        <v>38610072</v>
      </c>
      <c r="E45" s="12">
        <f t="shared" ref="E45:E53" si="21">E8</f>
        <v>888</v>
      </c>
      <c r="F45" s="11">
        <f t="shared" ref="F45:F51" si="22">D45/E45</f>
        <v>43479.810810810814</v>
      </c>
      <c r="G45" s="14">
        <f t="shared" ref="G45:G51" si="23">F45/C45</f>
        <v>0.13767145144847212</v>
      </c>
      <c r="H45" s="11">
        <f t="shared" si="13"/>
        <v>2036899</v>
      </c>
      <c r="I45" s="15">
        <f t="shared" ref="I45:I51" si="24">F45/H45</f>
        <v>2.1346080886097355E-2</v>
      </c>
      <c r="J45" s="22">
        <f t="shared" ref="J45:J51" si="25">C45/H45</f>
        <v>0.15505088863021682</v>
      </c>
    </row>
    <row r="46" spans="1:10" x14ac:dyDescent="0.3">
      <c r="B46" s="49" t="s">
        <v>4</v>
      </c>
      <c r="C46" s="11">
        <f t="shared" si="20"/>
        <v>372057</v>
      </c>
      <c r="D46" s="11">
        <f t="shared" si="12"/>
        <v>43290571</v>
      </c>
      <c r="E46" s="12">
        <f t="shared" si="21"/>
        <v>906</v>
      </c>
      <c r="F46" s="11">
        <f t="shared" si="22"/>
        <v>47782.08719646799</v>
      </c>
      <c r="G46" s="14">
        <f t="shared" si="23"/>
        <v>0.12842679265937207</v>
      </c>
      <c r="H46" s="11">
        <f t="shared" si="13"/>
        <v>3172155</v>
      </c>
      <c r="I46" s="15">
        <f t="shared" si="24"/>
        <v>1.5062973655596272E-2</v>
      </c>
      <c r="J46" s="22">
        <f t="shared" si="25"/>
        <v>0.11728840488563769</v>
      </c>
    </row>
    <row r="47" spans="1:10" x14ac:dyDescent="0.3">
      <c r="B47" s="49" t="s">
        <v>5</v>
      </c>
      <c r="C47" s="11">
        <f t="shared" si="20"/>
        <v>253598</v>
      </c>
      <c r="D47" s="11">
        <f t="shared" si="12"/>
        <v>48512783</v>
      </c>
      <c r="E47" s="12">
        <f t="shared" si="21"/>
        <v>923</v>
      </c>
      <c r="F47" s="11">
        <f t="shared" si="22"/>
        <v>52559.894907908994</v>
      </c>
      <c r="G47" s="14">
        <f t="shared" si="23"/>
        <v>0.20725674062062396</v>
      </c>
      <c r="H47" s="11">
        <f t="shared" si="13"/>
        <v>1753677</v>
      </c>
      <c r="I47" s="15">
        <f t="shared" si="24"/>
        <v>2.9971251780064968E-2</v>
      </c>
      <c r="J47" s="22">
        <f t="shared" si="25"/>
        <v>0.14460929806344042</v>
      </c>
    </row>
    <row r="48" spans="1:10" x14ac:dyDescent="0.3">
      <c r="B48" s="49" t="s">
        <v>6</v>
      </c>
      <c r="C48" s="11">
        <f t="shared" si="20"/>
        <v>385292</v>
      </c>
      <c r="D48" s="11">
        <f t="shared" si="12"/>
        <v>55564443</v>
      </c>
      <c r="E48" s="12">
        <f t="shared" si="21"/>
        <v>942</v>
      </c>
      <c r="F48" s="11">
        <f t="shared" si="22"/>
        <v>58985.608280254775</v>
      </c>
      <c r="G48" s="14">
        <f t="shared" si="23"/>
        <v>0.1530932598659063</v>
      </c>
      <c r="H48" s="11">
        <f t="shared" si="13"/>
        <v>2608832</v>
      </c>
      <c r="I48" s="15">
        <f t="shared" si="24"/>
        <v>2.2609968093098665E-2</v>
      </c>
      <c r="J48" s="22">
        <f t="shared" si="25"/>
        <v>0.14768754753084906</v>
      </c>
    </row>
    <row r="49" spans="2:10" x14ac:dyDescent="0.3">
      <c r="B49" s="49" t="s">
        <v>16</v>
      </c>
      <c r="C49" s="11">
        <f t="shared" si="20"/>
        <v>375162</v>
      </c>
      <c r="D49" s="11">
        <f t="shared" si="12"/>
        <v>56474576</v>
      </c>
      <c r="E49" s="12">
        <f t="shared" si="21"/>
        <v>961</v>
      </c>
      <c r="F49" s="11">
        <f t="shared" si="22"/>
        <v>58766.468262226845</v>
      </c>
      <c r="G49" s="14">
        <f t="shared" si="23"/>
        <v>0.1566429122944937</v>
      </c>
      <c r="H49" s="11">
        <f t="shared" si="13"/>
        <v>1418892</v>
      </c>
      <c r="I49" s="15">
        <f t="shared" si="24"/>
        <v>4.1417153851192934E-2</v>
      </c>
      <c r="J49" s="22">
        <f t="shared" si="25"/>
        <v>0.26440490185299514</v>
      </c>
    </row>
    <row r="50" spans="2:10" x14ac:dyDescent="0.3">
      <c r="B50" s="49" t="s">
        <v>20</v>
      </c>
      <c r="C50" s="11">
        <f t="shared" si="20"/>
        <v>317159</v>
      </c>
      <c r="D50" s="11">
        <f t="shared" si="12"/>
        <v>53742606</v>
      </c>
      <c r="E50" s="12">
        <f t="shared" si="21"/>
        <v>991</v>
      </c>
      <c r="F50" s="11">
        <f t="shared" si="22"/>
        <v>54230.68213925328</v>
      </c>
      <c r="G50" s="14">
        <f t="shared" si="23"/>
        <v>0.17098894289379549</v>
      </c>
      <c r="H50" s="11">
        <f t="shared" si="13"/>
        <v>2226349</v>
      </c>
      <c r="I50" s="15">
        <f t="shared" si="24"/>
        <v>2.435857187676024E-2</v>
      </c>
      <c r="J50" s="22">
        <f t="shared" si="25"/>
        <v>0.14245700022772709</v>
      </c>
    </row>
    <row r="51" spans="2:10" x14ac:dyDescent="0.3">
      <c r="B51" s="49" t="s">
        <v>21</v>
      </c>
      <c r="C51" s="11">
        <f t="shared" si="20"/>
        <v>379667</v>
      </c>
      <c r="D51" s="11">
        <f t="shared" si="12"/>
        <v>73431352</v>
      </c>
      <c r="E51" s="12">
        <f t="shared" si="21"/>
        <v>972</v>
      </c>
      <c r="F51" s="11">
        <f t="shared" si="22"/>
        <v>75546.658436213998</v>
      </c>
      <c r="G51" s="14">
        <f t="shared" si="23"/>
        <v>0.19898136639795927</v>
      </c>
      <c r="H51" s="11">
        <f t="shared" si="13"/>
        <v>2900956</v>
      </c>
      <c r="I51" s="15">
        <f t="shared" si="24"/>
        <v>2.6041986998842449E-2</v>
      </c>
      <c r="J51" s="22">
        <f t="shared" si="25"/>
        <v>0.13087651105359752</v>
      </c>
    </row>
    <row r="52" spans="2:10" x14ac:dyDescent="0.3">
      <c r="B52" s="49" t="s">
        <v>22</v>
      </c>
      <c r="C52" s="11">
        <f t="shared" si="20"/>
        <v>414311</v>
      </c>
      <c r="D52" s="11">
        <f t="shared" si="12"/>
        <v>68666518</v>
      </c>
      <c r="E52" s="12">
        <f t="shared" si="21"/>
        <v>979</v>
      </c>
      <c r="F52" s="11">
        <f t="shared" ref="F52:F53" si="26">D52/E52</f>
        <v>70139.446373850864</v>
      </c>
      <c r="G52" s="14">
        <f t="shared" ref="G52:G53" si="27">F52/C52</f>
        <v>0.1692917793006965</v>
      </c>
      <c r="H52" s="11">
        <f t="shared" si="13"/>
        <v>2983737</v>
      </c>
      <c r="I52" s="15">
        <f t="shared" ref="I52:I53" si="28">F52/H52</f>
        <v>2.3507248250717427E-2</v>
      </c>
      <c r="J52" s="22">
        <f t="shared" ref="J52:J53" si="29">C52/H52</f>
        <v>0.13885640725037093</v>
      </c>
    </row>
    <row r="53" spans="2:10" x14ac:dyDescent="0.3">
      <c r="B53" s="49" t="s">
        <v>23</v>
      </c>
      <c r="C53" s="11">
        <f t="shared" si="20"/>
        <v>236214</v>
      </c>
      <c r="D53" s="11">
        <f t="shared" si="12"/>
        <v>51519776</v>
      </c>
      <c r="E53" s="12">
        <f t="shared" si="21"/>
        <v>1002</v>
      </c>
      <c r="F53" s="11">
        <f t="shared" si="26"/>
        <v>51416.942115768463</v>
      </c>
      <c r="G53" s="14">
        <f t="shared" si="27"/>
        <v>0.21767101914267767</v>
      </c>
      <c r="H53" s="11">
        <f t="shared" si="13"/>
        <v>1075433</v>
      </c>
      <c r="I53" s="15">
        <f t="shared" si="28"/>
        <v>4.7810455989139689E-2</v>
      </c>
      <c r="J53" s="22">
        <f t="shared" si="29"/>
        <v>0.21964548233130282</v>
      </c>
    </row>
    <row r="55" spans="2:10" x14ac:dyDescent="0.3">
      <c r="B55" s="17" t="s">
        <v>24</v>
      </c>
      <c r="C55" s="18">
        <f>SUM(C42:C53)</f>
        <v>4018196</v>
      </c>
      <c r="D55" s="18"/>
      <c r="E55" s="18"/>
      <c r="F55" s="18">
        <f>SUM(F42:F53)</f>
        <v>628331.64247670758</v>
      </c>
      <c r="G55" s="18"/>
      <c r="H55" s="18">
        <f>SUM(H42:H53)</f>
        <v>27246279</v>
      </c>
    </row>
    <row r="56" spans="2:10" x14ac:dyDescent="0.3">
      <c r="B56" s="84" t="s">
        <v>74</v>
      </c>
      <c r="C56" s="85"/>
      <c r="D56" s="85"/>
      <c r="E56" s="85"/>
      <c r="F56" s="86">
        <f>AVERAGE(F42:F53)</f>
        <v>52360.970206392296</v>
      </c>
      <c r="G56" s="87">
        <f>(G42*F42+G43*F43+G44*F44+G45*F45+G46*F46+G47*F47+G48*F48+G49*F49+G50*F50+G51*F51+G52*F52+G53*F53)/F55</f>
        <v>0.16341625007227217</v>
      </c>
      <c r="H56" s="88"/>
      <c r="I56" s="87">
        <f>(I42*H42+I43*H43+I44*H44+I45*H45+I46*H46+I47*H47+I48*H48+I49*H49+I50*H50+H51*I51+H52*I52+H53*I53)/H55</f>
        <v>2.306119094195239E-2</v>
      </c>
      <c r="J56" s="87">
        <f>(J42*H42+J43*H43+J44*H44+J45*H45+J46*H46+J47*H47+J48*J48+J49*H49+J50*H50+J51*H51+J52*H52+J53*H53)/H55</f>
        <v>0.13333578584479783</v>
      </c>
    </row>
  </sheetData>
  <pageMargins left="0.70866141732283472" right="0.70866141732283472" top="0.74803149606299213" bottom="0.74803149606299213" header="0.31496062992125984" footer="0.31496062992125984"/>
  <pageSetup orientation="landscape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6"/>
  <sheetViews>
    <sheetView topLeftCell="A33" workbookViewId="0">
      <selection activeCell="M15" sqref="M15"/>
    </sheetView>
  </sheetViews>
  <sheetFormatPr baseColWidth="10" defaultRowHeight="14.4" x14ac:dyDescent="0.3"/>
  <cols>
    <col min="3" max="3" width="11.88671875" bestFit="1" customWidth="1"/>
    <col min="10" max="10" width="11.33203125" customWidth="1"/>
    <col min="12" max="12" width="13.5546875" customWidth="1"/>
  </cols>
  <sheetData>
    <row r="1" spans="2:12" ht="21" x14ac:dyDescent="0.4">
      <c r="B1" s="48">
        <v>2024</v>
      </c>
    </row>
    <row r="2" spans="2:12" ht="18" x14ac:dyDescent="0.35">
      <c r="B2" s="41" t="s">
        <v>17</v>
      </c>
      <c r="C2" s="39"/>
      <c r="D2" s="39"/>
      <c r="L2" s="56"/>
    </row>
    <row r="3" spans="2:12" x14ac:dyDescent="0.3">
      <c r="B3" s="25" t="s">
        <v>41</v>
      </c>
    </row>
    <row r="4" spans="2:12" x14ac:dyDescent="0.3">
      <c r="C4" s="2" t="s">
        <v>43</v>
      </c>
      <c r="L4" s="2"/>
    </row>
    <row r="5" spans="2:12" x14ac:dyDescent="0.3">
      <c r="B5" s="2" t="s">
        <v>0</v>
      </c>
      <c r="C5" s="3">
        <f>datos24!C42</f>
        <v>298108</v>
      </c>
      <c r="L5" s="54"/>
    </row>
    <row r="6" spans="2:12" x14ac:dyDescent="0.3">
      <c r="B6" s="2" t="s">
        <v>1</v>
      </c>
      <c r="C6" s="3">
        <f>datos24!C43</f>
        <v>348987</v>
      </c>
      <c r="L6" s="54"/>
    </row>
    <row r="7" spans="2:12" x14ac:dyDescent="0.3">
      <c r="B7" s="2" t="s">
        <v>2</v>
      </c>
      <c r="C7" s="3">
        <f>datos24!C44</f>
        <v>321818</v>
      </c>
      <c r="L7" s="54"/>
    </row>
    <row r="8" spans="2:12" x14ac:dyDescent="0.3">
      <c r="B8" s="2" t="s">
        <v>3</v>
      </c>
      <c r="C8" s="3">
        <f>datos24!C45</f>
        <v>315823</v>
      </c>
      <c r="L8" s="30"/>
    </row>
    <row r="9" spans="2:12" x14ac:dyDescent="0.3">
      <c r="B9" s="2" t="s">
        <v>4</v>
      </c>
      <c r="C9" s="3">
        <f>datos24!C46</f>
        <v>372057</v>
      </c>
      <c r="L9" s="30"/>
    </row>
    <row r="10" spans="2:12" x14ac:dyDescent="0.3">
      <c r="B10" s="2" t="s">
        <v>5</v>
      </c>
      <c r="C10" s="3">
        <f>datos24!C47</f>
        <v>253598</v>
      </c>
      <c r="L10" s="30"/>
    </row>
    <row r="11" spans="2:12" x14ac:dyDescent="0.3">
      <c r="B11" s="2" t="s">
        <v>6</v>
      </c>
      <c r="C11" s="3">
        <f>datos24!C48</f>
        <v>385292</v>
      </c>
      <c r="L11" s="30"/>
    </row>
    <row r="12" spans="2:12" x14ac:dyDescent="0.3">
      <c r="B12" s="2" t="s">
        <v>16</v>
      </c>
      <c r="C12" s="3">
        <f>datos24!C49</f>
        <v>375162</v>
      </c>
      <c r="L12" s="30"/>
    </row>
    <row r="13" spans="2:12" x14ac:dyDescent="0.3">
      <c r="B13" s="2" t="s">
        <v>20</v>
      </c>
      <c r="C13" s="3">
        <f>datos24!C50</f>
        <v>317159</v>
      </c>
      <c r="L13" s="30"/>
    </row>
    <row r="14" spans="2:12" x14ac:dyDescent="0.3">
      <c r="B14" s="2" t="s">
        <v>21</v>
      </c>
      <c r="C14" s="3">
        <f>datos24!C51</f>
        <v>379667</v>
      </c>
      <c r="L14" s="30"/>
    </row>
    <row r="15" spans="2:12" x14ac:dyDescent="0.3">
      <c r="B15" s="2" t="s">
        <v>22</v>
      </c>
      <c r="C15" s="3">
        <f>datos24!C52</f>
        <v>414311</v>
      </c>
      <c r="L15" s="30"/>
    </row>
    <row r="16" spans="2:12" x14ac:dyDescent="0.3">
      <c r="B16" s="2" t="s">
        <v>23</v>
      </c>
      <c r="C16" s="3">
        <f>datos24!C53</f>
        <v>236214</v>
      </c>
      <c r="L16" s="30"/>
    </row>
    <row r="17" spans="2:12" x14ac:dyDescent="0.3">
      <c r="B17" s="40" t="s">
        <v>14</v>
      </c>
      <c r="C17" s="42">
        <f>AVERAGE(C5:C16)</f>
        <v>334849.66666666669</v>
      </c>
      <c r="L17" s="43"/>
    </row>
    <row r="19" spans="2:12" ht="18" x14ac:dyDescent="0.35">
      <c r="B19" s="41" t="s">
        <v>19</v>
      </c>
      <c r="C19" s="39"/>
      <c r="D19" s="39"/>
      <c r="E19" s="39"/>
      <c r="F19" s="39"/>
      <c r="L19" s="56"/>
    </row>
    <row r="20" spans="2:12" x14ac:dyDescent="0.3">
      <c r="C20" s="2" t="s">
        <v>13</v>
      </c>
      <c r="L20" s="2"/>
    </row>
    <row r="21" spans="2:12" x14ac:dyDescent="0.3">
      <c r="B21" s="2" t="s">
        <v>0</v>
      </c>
      <c r="C21" s="4">
        <f>datos24!G42</f>
        <v>9.7305713932828122E-2</v>
      </c>
      <c r="L21" s="27"/>
    </row>
    <row r="22" spans="2:12" x14ac:dyDescent="0.3">
      <c r="B22" s="2" t="s">
        <v>1</v>
      </c>
      <c r="C22" s="4">
        <f>datos24!G43</f>
        <v>0.1170012985723364</v>
      </c>
      <c r="L22" s="27"/>
    </row>
    <row r="23" spans="2:12" x14ac:dyDescent="0.3">
      <c r="B23" s="2" t="s">
        <v>2</v>
      </c>
      <c r="C23" s="4">
        <f>datos24!G44</f>
        <v>0.14164683143888782</v>
      </c>
      <c r="L23" s="27"/>
    </row>
    <row r="24" spans="2:12" x14ac:dyDescent="0.3">
      <c r="B24" s="2" t="s">
        <v>3</v>
      </c>
      <c r="C24" s="4">
        <f>datos24!G45</f>
        <v>0.13767145144847212</v>
      </c>
      <c r="L24" s="27"/>
    </row>
    <row r="25" spans="2:12" x14ac:dyDescent="0.3">
      <c r="B25" s="2" t="s">
        <v>4</v>
      </c>
      <c r="C25" s="4">
        <f>datos24!G46</f>
        <v>0.12842679265937207</v>
      </c>
      <c r="L25" s="27"/>
    </row>
    <row r="26" spans="2:12" x14ac:dyDescent="0.3">
      <c r="B26" s="2" t="s">
        <v>5</v>
      </c>
      <c r="C26" s="4">
        <f>datos24!G47</f>
        <v>0.20725674062062396</v>
      </c>
      <c r="L26" s="27"/>
    </row>
    <row r="27" spans="2:12" x14ac:dyDescent="0.3">
      <c r="B27" s="2" t="s">
        <v>6</v>
      </c>
      <c r="C27" s="4">
        <f>datos24!G48</f>
        <v>0.1530932598659063</v>
      </c>
      <c r="L27" s="27"/>
    </row>
    <row r="28" spans="2:12" x14ac:dyDescent="0.3">
      <c r="B28" s="2" t="s">
        <v>16</v>
      </c>
      <c r="C28" s="4">
        <f>datos24!G49</f>
        <v>0.1566429122944937</v>
      </c>
      <c r="L28" s="27"/>
    </row>
    <row r="29" spans="2:12" x14ac:dyDescent="0.3">
      <c r="B29" s="2" t="s">
        <v>20</v>
      </c>
      <c r="C29" s="4">
        <f>datos24!G50</f>
        <v>0.17098894289379549</v>
      </c>
      <c r="L29" s="27"/>
    </row>
    <row r="30" spans="2:12" x14ac:dyDescent="0.3">
      <c r="B30" s="2" t="s">
        <v>21</v>
      </c>
      <c r="C30" s="4">
        <f>datos24!G51</f>
        <v>0.19898136639795927</v>
      </c>
      <c r="L30" s="27"/>
    </row>
    <row r="31" spans="2:12" x14ac:dyDescent="0.3">
      <c r="B31" s="2" t="s">
        <v>22</v>
      </c>
      <c r="C31" s="4">
        <f>datos24!G52</f>
        <v>0.1692917793006965</v>
      </c>
      <c r="L31" s="27"/>
    </row>
    <row r="32" spans="2:12" x14ac:dyDescent="0.3">
      <c r="B32" s="2" t="s">
        <v>23</v>
      </c>
      <c r="C32" s="4">
        <f>datos24!G53</f>
        <v>0.21767101914267767</v>
      </c>
      <c r="L32" s="27"/>
    </row>
    <row r="33" spans="1:12" x14ac:dyDescent="0.3">
      <c r="A33" s="39"/>
      <c r="B33" s="44" t="s">
        <v>62</v>
      </c>
      <c r="C33" s="45">
        <f>datos24!G19</f>
        <v>0.13337968242330456</v>
      </c>
      <c r="L33" s="45"/>
    </row>
    <row r="34" spans="1:12" x14ac:dyDescent="0.3">
      <c r="B34" s="5"/>
      <c r="C34" s="6"/>
    </row>
    <row r="35" spans="1:12" ht="18" x14ac:dyDescent="0.35">
      <c r="B35" s="41" t="s">
        <v>18</v>
      </c>
      <c r="C35" s="39"/>
      <c r="L35" s="56"/>
    </row>
    <row r="36" spans="1:12" x14ac:dyDescent="0.3">
      <c r="B36" s="39"/>
      <c r="C36" s="40" t="s">
        <v>12</v>
      </c>
      <c r="L36" s="2"/>
    </row>
    <row r="37" spans="1:12" x14ac:dyDescent="0.3">
      <c r="B37" s="2" t="s">
        <v>0</v>
      </c>
      <c r="C37" s="4">
        <f>datos24!I42</f>
        <v>1.3085347655963493E-2</v>
      </c>
      <c r="L37" s="4"/>
    </row>
    <row r="38" spans="1:12" x14ac:dyDescent="0.3">
      <c r="B38" s="2" t="s">
        <v>1</v>
      </c>
      <c r="C38" s="4">
        <f>datos24!I43</f>
        <v>1.367758214865685E-2</v>
      </c>
      <c r="L38" s="4"/>
    </row>
    <row r="39" spans="1:12" x14ac:dyDescent="0.3">
      <c r="B39" s="2" t="s">
        <v>2</v>
      </c>
      <c r="C39" s="4">
        <f>datos24!I44</f>
        <v>2.4412900392560104E-2</v>
      </c>
      <c r="L39" s="4"/>
    </row>
    <row r="40" spans="1:12" x14ac:dyDescent="0.3">
      <c r="B40" s="2" t="s">
        <v>3</v>
      </c>
      <c r="C40" s="4">
        <f>datos24!I45</f>
        <v>2.1346080886097355E-2</v>
      </c>
      <c r="L40" s="4"/>
    </row>
    <row r="41" spans="1:12" x14ac:dyDescent="0.3">
      <c r="B41" s="2" t="s">
        <v>4</v>
      </c>
      <c r="C41" s="4">
        <f>datos24!I46</f>
        <v>1.5062973655596272E-2</v>
      </c>
      <c r="L41" s="4"/>
    </row>
    <row r="42" spans="1:12" x14ac:dyDescent="0.3">
      <c r="B42" s="2" t="s">
        <v>5</v>
      </c>
      <c r="C42" s="4">
        <f>datos24!I47</f>
        <v>2.9971251780064968E-2</v>
      </c>
      <c r="L42" s="4"/>
    </row>
    <row r="43" spans="1:12" x14ac:dyDescent="0.3">
      <c r="B43" s="2" t="s">
        <v>6</v>
      </c>
      <c r="C43" s="4">
        <f>datos24!I48</f>
        <v>2.2609968093098665E-2</v>
      </c>
      <c r="L43" s="4"/>
    </row>
    <row r="44" spans="1:12" x14ac:dyDescent="0.3">
      <c r="B44" s="2" t="s">
        <v>16</v>
      </c>
      <c r="C44" s="4">
        <f>datos24!I49</f>
        <v>4.1417153851192934E-2</v>
      </c>
      <c r="L44" s="4"/>
    </row>
    <row r="45" spans="1:12" x14ac:dyDescent="0.3">
      <c r="B45" s="2" t="s">
        <v>20</v>
      </c>
      <c r="C45" s="4">
        <f>datos24!I50</f>
        <v>2.435857187676024E-2</v>
      </c>
      <c r="L45" s="4"/>
    </row>
    <row r="46" spans="1:12" x14ac:dyDescent="0.3">
      <c r="B46" s="2" t="s">
        <v>21</v>
      </c>
      <c r="C46" s="4">
        <f>datos24!I51</f>
        <v>2.6041986998842449E-2</v>
      </c>
      <c r="L46" s="4"/>
    </row>
    <row r="47" spans="1:12" x14ac:dyDescent="0.3">
      <c r="B47" s="2" t="s">
        <v>22</v>
      </c>
      <c r="C47" s="4">
        <f>datos24!I52</f>
        <v>2.3507248250717427E-2</v>
      </c>
      <c r="L47" s="4"/>
    </row>
    <row r="48" spans="1:12" x14ac:dyDescent="0.3">
      <c r="B48" s="2" t="s">
        <v>23</v>
      </c>
      <c r="C48" s="4">
        <f>datos24!I53</f>
        <v>4.7810455989139689E-2</v>
      </c>
      <c r="L48" s="4"/>
    </row>
    <row r="49" spans="1:12" x14ac:dyDescent="0.3">
      <c r="A49" s="39"/>
      <c r="B49" s="44" t="s">
        <v>62</v>
      </c>
      <c r="C49" s="45">
        <f>datos24!I19</f>
        <v>1.8826241238455849E-2</v>
      </c>
      <c r="L49" s="45"/>
    </row>
    <row r="51" spans="1:12" ht="18" x14ac:dyDescent="0.35">
      <c r="B51" s="41"/>
      <c r="C51" s="39"/>
      <c r="D51" s="39"/>
      <c r="E51" s="46"/>
      <c r="F51" s="47"/>
      <c r="L51" s="39"/>
    </row>
    <row r="52" spans="1:12" x14ac:dyDescent="0.3">
      <c r="C52" s="2"/>
      <c r="L52" s="2"/>
    </row>
    <row r="53" spans="1:12" x14ac:dyDescent="0.3">
      <c r="B53" s="2"/>
      <c r="C53" s="3"/>
      <c r="L53" s="3"/>
    </row>
    <row r="54" spans="1:12" x14ac:dyDescent="0.3">
      <c r="B54" s="2"/>
      <c r="C54" s="3"/>
      <c r="L54" s="3"/>
    </row>
    <row r="55" spans="1:12" x14ac:dyDescent="0.3">
      <c r="B55" s="2"/>
      <c r="C55" s="3"/>
      <c r="L55" s="3"/>
    </row>
    <row r="56" spans="1:12" x14ac:dyDescent="0.3">
      <c r="B56" s="2"/>
      <c r="C56" s="3"/>
      <c r="L56" s="3"/>
    </row>
    <row r="57" spans="1:12" x14ac:dyDescent="0.3">
      <c r="B57" s="2"/>
      <c r="C57" s="3"/>
      <c r="L57" s="3"/>
    </row>
    <row r="58" spans="1:12" x14ac:dyDescent="0.3">
      <c r="B58" s="2"/>
      <c r="C58" s="3"/>
      <c r="L58" s="3"/>
    </row>
    <row r="59" spans="1:12" x14ac:dyDescent="0.3">
      <c r="B59" s="2"/>
      <c r="C59" s="3"/>
      <c r="L59" s="3"/>
    </row>
    <row r="60" spans="1:12" x14ac:dyDescent="0.3">
      <c r="B60" s="2"/>
      <c r="C60" s="3"/>
      <c r="L60" s="3"/>
    </row>
    <row r="61" spans="1:12" x14ac:dyDescent="0.3">
      <c r="B61" s="2"/>
      <c r="C61" s="3"/>
      <c r="L61" s="3"/>
    </row>
    <row r="62" spans="1:12" x14ac:dyDescent="0.3">
      <c r="B62" s="2"/>
      <c r="C62" s="3"/>
      <c r="L62" s="3"/>
    </row>
    <row r="63" spans="1:12" x14ac:dyDescent="0.3">
      <c r="B63" s="2"/>
      <c r="C63" s="3"/>
      <c r="L63" s="3"/>
    </row>
    <row r="64" spans="1:12" x14ac:dyDescent="0.3">
      <c r="B64" s="2"/>
      <c r="C64" s="3"/>
      <c r="L64" s="3"/>
    </row>
    <row r="65" spans="2:12" x14ac:dyDescent="0.3">
      <c r="B65" s="19"/>
      <c r="C65" s="7"/>
      <c r="L65" s="7"/>
    </row>
    <row r="66" spans="2:12" x14ac:dyDescent="0.3">
      <c r="B66" s="44"/>
      <c r="C66" s="42"/>
      <c r="L66" s="4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78"/>
  <sheetViews>
    <sheetView topLeftCell="A35" workbookViewId="0">
      <selection activeCell="F60" sqref="F60"/>
    </sheetView>
  </sheetViews>
  <sheetFormatPr baseColWidth="10" defaultRowHeight="14.4" x14ac:dyDescent="0.3"/>
  <cols>
    <col min="2" max="2" width="11.5546875" customWidth="1"/>
    <col min="3" max="3" width="9.6640625" customWidth="1"/>
    <col min="4" max="7" width="10.6640625" customWidth="1"/>
    <col min="8" max="8" width="13.88671875" customWidth="1"/>
    <col min="9" max="9" width="13.109375" customWidth="1"/>
    <col min="11" max="11" width="15.21875" customWidth="1"/>
    <col min="17" max="17" width="13.6640625" customWidth="1"/>
  </cols>
  <sheetData>
    <row r="2" spans="2:11" x14ac:dyDescent="0.3">
      <c r="B2" s="57" t="s">
        <v>51</v>
      </c>
      <c r="C2" s="58"/>
    </row>
    <row r="3" spans="2:11" x14ac:dyDescent="0.3">
      <c r="B3" s="1" t="s">
        <v>27</v>
      </c>
      <c r="C3" s="2">
        <v>4156946</v>
      </c>
      <c r="D3" t="s">
        <v>58</v>
      </c>
      <c r="G3" t="s">
        <v>60</v>
      </c>
    </row>
    <row r="4" spans="2:11" x14ac:dyDescent="0.3">
      <c r="B4" s="59"/>
      <c r="C4" s="60" t="s">
        <v>7</v>
      </c>
      <c r="D4" s="60" t="s">
        <v>8</v>
      </c>
      <c r="E4" s="60" t="s">
        <v>10</v>
      </c>
      <c r="F4" s="60" t="s">
        <v>9</v>
      </c>
      <c r="G4" s="60" t="s">
        <v>13</v>
      </c>
      <c r="H4" s="60" t="s">
        <v>11</v>
      </c>
      <c r="I4" s="60" t="s">
        <v>12</v>
      </c>
      <c r="J4" s="60" t="s">
        <v>26</v>
      </c>
      <c r="K4" s="107" t="s">
        <v>64</v>
      </c>
    </row>
    <row r="5" spans="2:11" x14ac:dyDescent="0.3">
      <c r="B5" s="61" t="s">
        <v>0</v>
      </c>
      <c r="C5" s="11">
        <v>148340</v>
      </c>
      <c r="D5" s="11">
        <v>30891849</v>
      </c>
      <c r="E5" s="12">
        <v>1074</v>
      </c>
      <c r="F5" s="11">
        <f t="shared" ref="F5:F10" si="0">D5/E5</f>
        <v>28763.360335195532</v>
      </c>
      <c r="G5" s="14">
        <f t="shared" ref="G5:G10" si="1">F5/C5</f>
        <v>0.19390157971683653</v>
      </c>
      <c r="H5" s="11">
        <v>365645</v>
      </c>
      <c r="I5" s="15">
        <f t="shared" ref="I5:I10" si="2">F5/H5</f>
        <v>7.8664716692955008E-2</v>
      </c>
      <c r="J5" s="22">
        <f t="shared" ref="J5:J10" si="3">C5/H5</f>
        <v>0.40569404750509375</v>
      </c>
      <c r="K5" s="9"/>
    </row>
    <row r="6" spans="2:11" x14ac:dyDescent="0.3">
      <c r="B6" s="61" t="s">
        <v>1</v>
      </c>
      <c r="C6" s="11">
        <v>161773</v>
      </c>
      <c r="D6" s="11">
        <v>35294347</v>
      </c>
      <c r="E6" s="12">
        <v>1084</v>
      </c>
      <c r="F6" s="11">
        <f t="shared" si="0"/>
        <v>32559.360701107013</v>
      </c>
      <c r="G6" s="14">
        <f t="shared" si="1"/>
        <v>0.20126572852767158</v>
      </c>
      <c r="H6" s="11">
        <v>419403</v>
      </c>
      <c r="I6" s="15">
        <f t="shared" si="2"/>
        <v>7.7632636631371293E-2</v>
      </c>
      <c r="J6" s="22">
        <f t="shared" si="3"/>
        <v>0.38572208591736351</v>
      </c>
      <c r="K6" s="9"/>
    </row>
    <row r="7" spans="2:11" x14ac:dyDescent="0.3">
      <c r="B7" s="61" t="s">
        <v>2</v>
      </c>
      <c r="C7" s="11">
        <v>151287</v>
      </c>
      <c r="D7" s="11">
        <v>36118133</v>
      </c>
      <c r="E7" s="12">
        <v>1094</v>
      </c>
      <c r="F7" s="11">
        <f t="shared" si="0"/>
        <v>33014.746800731264</v>
      </c>
      <c r="G7" s="14">
        <f t="shared" si="1"/>
        <v>0.21822593349548383</v>
      </c>
      <c r="H7" s="11">
        <v>422762</v>
      </c>
      <c r="I7" s="15">
        <f t="shared" si="2"/>
        <v>7.8092985653231042E-2</v>
      </c>
      <c r="J7" s="22">
        <f t="shared" si="3"/>
        <v>0.3578538279220933</v>
      </c>
      <c r="K7" s="9"/>
    </row>
    <row r="8" spans="2:11" x14ac:dyDescent="0.3">
      <c r="B8" s="61" t="s">
        <v>3</v>
      </c>
      <c r="C8" s="11">
        <v>213995</v>
      </c>
      <c r="D8" s="11">
        <v>44270737</v>
      </c>
      <c r="E8" s="12">
        <v>1114</v>
      </c>
      <c r="F8" s="11">
        <f t="shared" si="0"/>
        <v>39740.338420107721</v>
      </c>
      <c r="G8" s="14">
        <f t="shared" si="1"/>
        <v>0.18570685492702035</v>
      </c>
      <c r="H8" s="11">
        <v>1518390</v>
      </c>
      <c r="I8" s="15">
        <f t="shared" si="2"/>
        <v>2.6172681867048467E-2</v>
      </c>
      <c r="J8" s="22">
        <f t="shared" si="3"/>
        <v>0.14093546453809627</v>
      </c>
      <c r="K8" s="9"/>
    </row>
    <row r="9" spans="2:11" x14ac:dyDescent="0.3">
      <c r="B9" s="61" t="s">
        <v>4</v>
      </c>
      <c r="C9" s="11">
        <v>219258.4</v>
      </c>
      <c r="D9" s="11">
        <v>45818312</v>
      </c>
      <c r="E9" s="12">
        <v>1162</v>
      </c>
      <c r="F9" s="11">
        <f t="shared" si="0"/>
        <v>39430.56110154905</v>
      </c>
      <c r="G9" s="14">
        <f t="shared" si="1"/>
        <v>0.17983603411111754</v>
      </c>
      <c r="H9" s="11">
        <v>2413571</v>
      </c>
      <c r="I9" s="15">
        <f t="shared" si="2"/>
        <v>1.6337021409997491E-2</v>
      </c>
      <c r="J9" s="22">
        <f t="shared" si="3"/>
        <v>9.0843981801239732E-2</v>
      </c>
      <c r="K9" s="12">
        <v>681</v>
      </c>
    </row>
    <row r="10" spans="2:11" x14ac:dyDescent="0.3">
      <c r="B10" s="61" t="s">
        <v>5</v>
      </c>
      <c r="C10" s="11">
        <v>256315</v>
      </c>
      <c r="D10" s="11">
        <v>55417002</v>
      </c>
      <c r="E10" s="12">
        <v>1213</v>
      </c>
      <c r="F10" s="11">
        <f t="shared" si="0"/>
        <v>45685.904369332231</v>
      </c>
      <c r="G10" s="14">
        <f t="shared" si="1"/>
        <v>0.17824124366241628</v>
      </c>
      <c r="H10" s="11">
        <v>2436084</v>
      </c>
      <c r="I10" s="15">
        <f t="shared" si="2"/>
        <v>1.8753829658309087E-2</v>
      </c>
      <c r="J10" s="22">
        <f t="shared" si="3"/>
        <v>0.10521599419396047</v>
      </c>
      <c r="K10" s="12">
        <v>713</v>
      </c>
    </row>
    <row r="11" spans="2:11" x14ac:dyDescent="0.3">
      <c r="B11" s="61" t="s">
        <v>6</v>
      </c>
      <c r="C11" s="11">
        <v>266424.95</v>
      </c>
      <c r="D11" s="11">
        <v>58752903</v>
      </c>
      <c r="E11" s="12">
        <v>1325</v>
      </c>
      <c r="F11" s="11">
        <f t="shared" ref="F11:F13" si="4">D11/E11</f>
        <v>44341.813584905663</v>
      </c>
      <c r="G11" s="14">
        <f t="shared" ref="G11:G12" si="5">F11/C11</f>
        <v>0.16643266174923055</v>
      </c>
      <c r="H11" s="11">
        <v>2656123</v>
      </c>
      <c r="I11" s="15">
        <f t="shared" ref="I11:I12" si="6">F11/H11</f>
        <v>1.6694186822261491E-2</v>
      </c>
      <c r="J11" s="22">
        <f t="shared" ref="J11:J12" si="7">C11/H11</f>
        <v>0.10030595345170386</v>
      </c>
      <c r="K11" s="12">
        <v>680</v>
      </c>
    </row>
    <row r="12" spans="2:11" x14ac:dyDescent="0.3">
      <c r="B12" s="61" t="s">
        <v>16</v>
      </c>
      <c r="C12" s="11">
        <v>238700</v>
      </c>
      <c r="D12" s="11">
        <v>50981118.799999997</v>
      </c>
      <c r="E12" s="12">
        <v>1360</v>
      </c>
      <c r="F12" s="11">
        <f t="shared" si="4"/>
        <v>37486.116764705883</v>
      </c>
      <c r="G12" s="14">
        <f t="shared" si="5"/>
        <v>0.15704280169545826</v>
      </c>
      <c r="H12" s="11">
        <v>2590577</v>
      </c>
      <c r="I12" s="15">
        <f t="shared" si="6"/>
        <v>1.4470180490564798E-2</v>
      </c>
      <c r="J12" s="22">
        <f t="shared" si="7"/>
        <v>9.2141634855864157E-2</v>
      </c>
      <c r="K12" s="12">
        <v>616</v>
      </c>
    </row>
    <row r="13" spans="2:11" x14ac:dyDescent="0.3">
      <c r="B13" s="61" t="s">
        <v>20</v>
      </c>
      <c r="C13" s="11">
        <f>96720+41160+118750</f>
        <v>256630</v>
      </c>
      <c r="D13" s="11">
        <v>67487673</v>
      </c>
      <c r="E13" s="12">
        <v>1400</v>
      </c>
      <c r="F13" s="11">
        <f t="shared" si="4"/>
        <v>48205.480714285717</v>
      </c>
      <c r="G13" s="14">
        <f t="shared" ref="G13" si="8">F13/C13</f>
        <v>0.18784039556671361</v>
      </c>
      <c r="H13" s="11">
        <v>2522489</v>
      </c>
      <c r="I13" s="15">
        <f t="shared" ref="I13" si="9">F13/H13</f>
        <v>1.9110283816613557E-2</v>
      </c>
      <c r="J13" s="22">
        <f t="shared" ref="J13" si="10">C13/H13</f>
        <v>0.1017368162953337</v>
      </c>
      <c r="K13" s="12">
        <v>584</v>
      </c>
    </row>
    <row r="14" spans="2:11" x14ac:dyDescent="0.3">
      <c r="B14" s="61" t="s">
        <v>21</v>
      </c>
      <c r="C14" s="11">
        <v>231633</v>
      </c>
      <c r="D14" s="11">
        <v>59450626</v>
      </c>
      <c r="E14" s="12">
        <v>1435</v>
      </c>
      <c r="F14" s="11">
        <f t="shared" ref="F14" si="11">D14/E14</f>
        <v>41429.007665505225</v>
      </c>
      <c r="G14" s="14">
        <f t="shared" ref="G14" si="12">F14/C14</f>
        <v>0.17885624097389069</v>
      </c>
      <c r="H14" s="11">
        <v>2279040</v>
      </c>
      <c r="I14" s="15">
        <f t="shared" ref="I14" si="13">F14/H14</f>
        <v>1.8178271406164535E-2</v>
      </c>
      <c r="J14" s="22">
        <f t="shared" ref="J14" si="14">C14/H14</f>
        <v>0.10163621524852569</v>
      </c>
      <c r="K14" s="12" t="s">
        <v>67</v>
      </c>
    </row>
    <row r="15" spans="2:11" x14ac:dyDescent="0.3">
      <c r="B15" s="61" t="s">
        <v>22</v>
      </c>
      <c r="C15" s="11">
        <f>89355+44785+136145</f>
        <v>270285</v>
      </c>
      <c r="D15" s="11">
        <v>64709304.399999999</v>
      </c>
      <c r="E15" s="12">
        <v>1450</v>
      </c>
      <c r="F15" s="11">
        <f t="shared" ref="F15:F16" si="15">D15/E15</f>
        <v>44627.106482758616</v>
      </c>
      <c r="G15" s="14">
        <f t="shared" ref="G15:G16" si="16">F15/C15</f>
        <v>0.16511129542060646</v>
      </c>
      <c r="H15" s="11">
        <v>1575989</v>
      </c>
      <c r="I15" s="15">
        <f t="shared" ref="I15" si="17">F15/H15</f>
        <v>2.8316889573949195E-2</v>
      </c>
      <c r="J15" s="22">
        <f t="shared" ref="J15" si="18">C15/H15</f>
        <v>0.17150183154831664</v>
      </c>
      <c r="K15" s="12" t="s">
        <v>69</v>
      </c>
    </row>
    <row r="16" spans="2:11" x14ac:dyDescent="0.3">
      <c r="B16" s="61" t="s">
        <v>23</v>
      </c>
      <c r="C16" s="11">
        <v>202899</v>
      </c>
      <c r="D16" s="11">
        <v>56550984</v>
      </c>
      <c r="E16" s="12">
        <v>1464</v>
      </c>
      <c r="F16" s="11">
        <f t="shared" si="15"/>
        <v>38627.721311475412</v>
      </c>
      <c r="G16" s="14">
        <f t="shared" si="16"/>
        <v>0.19037906205291999</v>
      </c>
      <c r="H16" s="11">
        <v>1094280</v>
      </c>
      <c r="I16" s="15">
        <f t="shared" ref="I16" si="19">F16/H16</f>
        <v>3.5299668559669747E-2</v>
      </c>
      <c r="J16" s="22">
        <f t="shared" ref="J16" si="20">C16/H16</f>
        <v>0.18541780897028182</v>
      </c>
      <c r="K16" s="12" t="s">
        <v>70</v>
      </c>
    </row>
    <row r="18" spans="2:11" x14ac:dyDescent="0.3">
      <c r="B18" s="17" t="s">
        <v>24</v>
      </c>
      <c r="C18" s="55">
        <f>SUM(C5:C16)</f>
        <v>2617540.3499999996</v>
      </c>
      <c r="D18" s="18"/>
      <c r="E18" s="18"/>
      <c r="F18" s="55">
        <f>SUM(F5:F16)</f>
        <v>473911.51825165923</v>
      </c>
      <c r="G18" s="18"/>
      <c r="H18" s="55">
        <f>SUM(H5:H16)</f>
        <v>20294353</v>
      </c>
    </row>
    <row r="19" spans="2:11" x14ac:dyDescent="0.3">
      <c r="B19" s="28" t="s">
        <v>74</v>
      </c>
      <c r="C19" s="89"/>
      <c r="D19" s="89"/>
      <c r="E19" s="89"/>
      <c r="F19" s="89"/>
      <c r="G19" s="90">
        <f>(G5*F5+G6*F6+G7*F7+G8*F8+G9*F9+G10*F10+G11*F11+G12*F12+G13*F13+G14*F14+G15*F15+G16*F16)/F18</f>
        <v>0.18231924989933537</v>
      </c>
      <c r="H19" s="91"/>
      <c r="I19" s="90">
        <f>(I5*H5+I6*H6+I7*H7+I8*H8+I9*H9+I10*H10+I11*H11+I12*H12+I13*H13+I14*H14+H15*I15+H16*I16)/H18</f>
        <v>2.3351890954673906E-2</v>
      </c>
      <c r="J19" s="90">
        <f>(J5*H5+J6*H6+J7*H7+J8*H8+J9*H9+J10*H10+J11*J11+J12*H12+J13*H13+J14*H14+J15*H15+J16*H16)/H18</f>
        <v>0.11585072015162463</v>
      </c>
    </row>
    <row r="21" spans="2:11" x14ac:dyDescent="0.3">
      <c r="B21" s="92" t="s">
        <v>27</v>
      </c>
      <c r="C21" s="110">
        <v>107552</v>
      </c>
      <c r="D21" t="s">
        <v>59</v>
      </c>
    </row>
    <row r="22" spans="2:11" x14ac:dyDescent="0.3">
      <c r="B22" s="59"/>
      <c r="C22" s="60" t="s">
        <v>7</v>
      </c>
      <c r="D22" s="60" t="s">
        <v>8</v>
      </c>
      <c r="E22" s="60" t="s">
        <v>10</v>
      </c>
      <c r="F22" s="60" t="s">
        <v>9</v>
      </c>
      <c r="G22" s="60" t="s">
        <v>13</v>
      </c>
      <c r="H22" s="60" t="s">
        <v>28</v>
      </c>
      <c r="I22" s="60" t="s">
        <v>30</v>
      </c>
      <c r="J22" s="60" t="s">
        <v>29</v>
      </c>
      <c r="K22" s="109" t="s">
        <v>65</v>
      </c>
    </row>
    <row r="23" spans="2:11" x14ac:dyDescent="0.3">
      <c r="B23" s="61" t="s">
        <v>0</v>
      </c>
      <c r="C23" s="11">
        <v>61020</v>
      </c>
      <c r="D23" s="11">
        <v>28478675</v>
      </c>
      <c r="E23" s="12">
        <v>1074</v>
      </c>
      <c r="F23" s="11">
        <f t="shared" ref="F23" si="21">D23/E23</f>
        <v>26516.457169459962</v>
      </c>
      <c r="G23" s="106">
        <f t="shared" ref="G23" si="22">F23/C23</f>
        <v>0.43455354260013046</v>
      </c>
      <c r="H23" s="11">
        <f>122650+127099</f>
        <v>249749</v>
      </c>
      <c r="I23" s="15">
        <f t="shared" ref="I23" si="23">F23/H23</f>
        <v>0.10617242579333636</v>
      </c>
      <c r="J23" s="22">
        <f t="shared" ref="J23" si="24">C23/H23</f>
        <v>0.24432530260381424</v>
      </c>
      <c r="K23" s="9"/>
    </row>
    <row r="24" spans="2:11" x14ac:dyDescent="0.3">
      <c r="B24" s="61" t="s">
        <v>1</v>
      </c>
      <c r="C24" s="11">
        <v>198072</v>
      </c>
      <c r="D24" s="11">
        <v>36739215</v>
      </c>
      <c r="E24" s="12">
        <v>1084</v>
      </c>
      <c r="F24" s="11">
        <f t="shared" ref="F24" si="25">D24/E24</f>
        <v>33892.264760147598</v>
      </c>
      <c r="G24" s="106">
        <f t="shared" ref="G24" si="26">F24/C24</f>
        <v>0.17111083222337128</v>
      </c>
      <c r="H24" s="11">
        <v>130227</v>
      </c>
      <c r="I24" s="15">
        <f t="shared" ref="I24" si="27">F24/H24</f>
        <v>0.26025528316053964</v>
      </c>
      <c r="J24" s="22">
        <f t="shared" ref="J24" si="28">C24/H24</f>
        <v>1.5209749130364671</v>
      </c>
      <c r="K24" s="9"/>
    </row>
    <row r="25" spans="2:11" x14ac:dyDescent="0.3">
      <c r="B25" s="61" t="s">
        <v>2</v>
      </c>
      <c r="C25" s="11">
        <v>179748</v>
      </c>
      <c r="D25" s="11">
        <v>33949544</v>
      </c>
      <c r="E25" s="12">
        <v>1094</v>
      </c>
      <c r="F25" s="11">
        <f t="shared" ref="F25" si="29">D25/E25</f>
        <v>31032.489945155394</v>
      </c>
      <c r="G25" s="106">
        <f t="shared" ref="G25" si="30">F25/C25</f>
        <v>0.17264442411128578</v>
      </c>
      <c r="H25" s="11">
        <f>139761+7200+1867</f>
        <v>148828</v>
      </c>
      <c r="I25" s="15">
        <f t="shared" ref="I25" si="31">F25/H25</f>
        <v>0.20851244352645601</v>
      </c>
      <c r="J25" s="22">
        <f t="shared" ref="J25" si="32">C25/H25</f>
        <v>1.2077566049399306</v>
      </c>
      <c r="K25" s="9"/>
    </row>
    <row r="26" spans="2:11" x14ac:dyDescent="0.3">
      <c r="B26" s="61" t="s">
        <v>3</v>
      </c>
      <c r="C26" s="11">
        <v>144900</v>
      </c>
      <c r="D26" s="11">
        <v>29441972</v>
      </c>
      <c r="E26" s="12">
        <v>1114</v>
      </c>
      <c r="F26" s="11">
        <f t="shared" ref="F26:F28" si="33">D26/E26</f>
        <v>26429.059245960503</v>
      </c>
      <c r="G26" s="106">
        <f t="shared" ref="G26:G28" si="34">F26/C26</f>
        <v>0.18239516387826435</v>
      </c>
      <c r="H26" s="11">
        <v>286814</v>
      </c>
      <c r="I26" s="15">
        <f t="shared" ref="I26:I27" si="35">F26/H26</f>
        <v>9.2147033429192796E-2</v>
      </c>
      <c r="J26" s="22">
        <f t="shared" ref="J26:J27" si="36">C26/H26</f>
        <v>0.50520546416841572</v>
      </c>
      <c r="K26" s="9"/>
    </row>
    <row r="27" spans="2:11" x14ac:dyDescent="0.3">
      <c r="B27" s="61" t="s">
        <v>4</v>
      </c>
      <c r="C27" s="11">
        <v>142992</v>
      </c>
      <c r="D27" s="11">
        <v>29573431.640000001</v>
      </c>
      <c r="E27" s="12">
        <v>1162</v>
      </c>
      <c r="F27" s="11">
        <f t="shared" si="33"/>
        <v>25450.457521514629</v>
      </c>
      <c r="G27" s="106">
        <f t="shared" si="34"/>
        <v>0.17798518463630572</v>
      </c>
      <c r="H27" s="11">
        <v>405306</v>
      </c>
      <c r="I27" s="15">
        <f t="shared" si="35"/>
        <v>6.279319211044157E-2</v>
      </c>
      <c r="J27" s="22">
        <f t="shared" si="36"/>
        <v>0.35280010658613492</v>
      </c>
      <c r="K27" s="12">
        <v>259</v>
      </c>
    </row>
    <row r="28" spans="2:11" x14ac:dyDescent="0.3">
      <c r="B28" s="61" t="s">
        <v>5</v>
      </c>
      <c r="C28" s="11">
        <v>153720</v>
      </c>
      <c r="D28" s="11">
        <v>33909050</v>
      </c>
      <c r="E28" s="12">
        <v>1213</v>
      </c>
      <c r="F28" s="11">
        <f t="shared" si="33"/>
        <v>27954.699093157462</v>
      </c>
      <c r="G28" s="106">
        <f t="shared" si="34"/>
        <v>0.18185466493076674</v>
      </c>
      <c r="H28" s="11">
        <v>368643</v>
      </c>
      <c r="I28" s="15">
        <f t="shared" ref="I28" si="37">F28/H28</f>
        <v>7.5831357419393453E-2</v>
      </c>
      <c r="J28" s="22">
        <f t="shared" ref="J28" si="38">C28/H28</f>
        <v>0.41698879403650685</v>
      </c>
      <c r="K28" s="12">
        <v>259</v>
      </c>
    </row>
    <row r="29" spans="2:11" x14ac:dyDescent="0.3">
      <c r="B29" s="61" t="s">
        <v>6</v>
      </c>
      <c r="C29" s="11">
        <v>180000</v>
      </c>
      <c r="D29" s="11">
        <v>37054823</v>
      </c>
      <c r="E29" s="12">
        <v>1325</v>
      </c>
      <c r="F29" s="11">
        <f t="shared" ref="F29:F34" si="39">D29/E29</f>
        <v>27965.904150943396</v>
      </c>
      <c r="G29" s="106">
        <f t="shared" ref="G29:G30" si="40">F29/C29</f>
        <v>0.15536613417190775</v>
      </c>
      <c r="H29" s="11">
        <v>368859</v>
      </c>
      <c r="I29" s="15">
        <f t="shared" ref="I29:I30" si="41">F29/H29</f>
        <v>7.5817328981923698E-2</v>
      </c>
      <c r="J29" s="22">
        <f t="shared" ref="J29:J30" si="42">C29/H29</f>
        <v>0.48799134628679253</v>
      </c>
      <c r="K29" s="12">
        <v>302</v>
      </c>
    </row>
    <row r="30" spans="2:11" x14ac:dyDescent="0.3">
      <c r="B30" s="61" t="s">
        <v>16</v>
      </c>
      <c r="C30" s="11">
        <v>137160</v>
      </c>
      <c r="D30" s="11">
        <v>34918532.299999997</v>
      </c>
      <c r="E30" s="12">
        <v>1360</v>
      </c>
      <c r="F30" s="11">
        <f t="shared" si="39"/>
        <v>25675.391397058822</v>
      </c>
      <c r="G30" s="106">
        <f t="shared" si="40"/>
        <v>0.18719299647899404</v>
      </c>
      <c r="H30" s="11">
        <v>449859</v>
      </c>
      <c r="I30" s="15">
        <f t="shared" si="41"/>
        <v>5.7074308610161897E-2</v>
      </c>
      <c r="J30" s="22">
        <f t="shared" si="42"/>
        <v>0.30489553393396596</v>
      </c>
      <c r="K30" s="12">
        <v>288</v>
      </c>
    </row>
    <row r="31" spans="2:11" x14ac:dyDescent="0.3">
      <c r="B31" s="61" t="s">
        <v>20</v>
      </c>
      <c r="C31" s="11">
        <f>34740+28584+79704+8820+7344+19944</f>
        <v>179136</v>
      </c>
      <c r="D31" s="11">
        <v>43973571</v>
      </c>
      <c r="E31" s="12">
        <v>1400</v>
      </c>
      <c r="F31" s="11">
        <f t="shared" si="39"/>
        <v>31409.693571428572</v>
      </c>
      <c r="G31" s="106">
        <f t="shared" ref="G31" si="43">F31/C31</f>
        <v>0.17533992927958966</v>
      </c>
      <c r="H31" s="11">
        <v>373747</v>
      </c>
      <c r="I31" s="15">
        <f t="shared" ref="I31" si="44">F31/H31</f>
        <v>8.4039988471957164E-2</v>
      </c>
      <c r="J31" s="22">
        <f t="shared" ref="J31" si="45">C31/H31</f>
        <v>0.47929749268890454</v>
      </c>
      <c r="K31" s="12" t="s">
        <v>66</v>
      </c>
    </row>
    <row r="32" spans="2:11" x14ac:dyDescent="0.3">
      <c r="B32" s="61" t="s">
        <v>21</v>
      </c>
      <c r="C32" s="11">
        <v>173484</v>
      </c>
      <c r="D32" s="11">
        <v>40846829</v>
      </c>
      <c r="E32" s="12">
        <v>1435</v>
      </c>
      <c r="F32" s="11">
        <f t="shared" si="39"/>
        <v>28464.689198606273</v>
      </c>
      <c r="G32" s="106">
        <f t="shared" ref="G32" si="46">F32/C32</f>
        <v>0.16407674021008434</v>
      </c>
      <c r="H32" s="11">
        <v>436798</v>
      </c>
      <c r="I32" s="15">
        <f t="shared" ref="I32" si="47">F32/H32</f>
        <v>6.5166711382850365E-2</v>
      </c>
      <c r="J32" s="22">
        <f t="shared" ref="J32" si="48">C32/H32</f>
        <v>0.39717214822412189</v>
      </c>
      <c r="K32" s="12" t="s">
        <v>68</v>
      </c>
    </row>
    <row r="33" spans="1:18" x14ac:dyDescent="0.3">
      <c r="B33" s="61" t="s">
        <v>22</v>
      </c>
      <c r="C33" s="11">
        <f>33696+30528+79272+8496+7741+19655</f>
        <v>179388</v>
      </c>
      <c r="D33" s="11">
        <v>41042090</v>
      </c>
      <c r="E33" s="12">
        <v>1450</v>
      </c>
      <c r="F33" s="11">
        <f t="shared" si="39"/>
        <v>28304.889655172414</v>
      </c>
      <c r="G33" s="106">
        <f t="shared" ref="G33:G34" si="49">F33/C33</f>
        <v>0.1577858588934177</v>
      </c>
      <c r="H33" s="11">
        <v>357081</v>
      </c>
      <c r="I33" s="15">
        <f t="shared" ref="I33" si="50">F33/H33</f>
        <v>7.9267420151653029E-2</v>
      </c>
      <c r="J33" s="22">
        <f t="shared" ref="J33" si="51">C33/H33</f>
        <v>0.50237341107479816</v>
      </c>
      <c r="K33" s="12">
        <v>302</v>
      </c>
    </row>
    <row r="34" spans="1:18" x14ac:dyDescent="0.3">
      <c r="B34" s="61" t="s">
        <v>23</v>
      </c>
      <c r="C34" s="11">
        <v>125748</v>
      </c>
      <c r="D34" s="11">
        <v>36104730</v>
      </c>
      <c r="E34" s="12">
        <v>1464</v>
      </c>
      <c r="F34" s="11">
        <f t="shared" si="39"/>
        <v>24661.700819672133</v>
      </c>
      <c r="G34" s="106">
        <f t="shared" si="49"/>
        <v>0.19612002433177572</v>
      </c>
      <c r="H34" s="11">
        <v>321269</v>
      </c>
      <c r="I34" s="15">
        <f t="shared" ref="I34" si="52">F34/H34</f>
        <v>7.6763400202547183E-2</v>
      </c>
      <c r="J34" s="22">
        <f t="shared" ref="J34" si="53">C34/H34</f>
        <v>0.39141031347562322</v>
      </c>
      <c r="K34" s="12">
        <v>302</v>
      </c>
    </row>
    <row r="36" spans="1:18" x14ac:dyDescent="0.3">
      <c r="B36" s="17" t="s">
        <v>24</v>
      </c>
      <c r="C36" s="18">
        <f>SUM(C23:C34)</f>
        <v>1855368</v>
      </c>
      <c r="D36" s="18"/>
      <c r="E36" s="18"/>
      <c r="F36" s="18">
        <f>SUM(F23:F34)</f>
        <v>337757.69652827713</v>
      </c>
      <c r="G36" s="18"/>
      <c r="H36" s="18">
        <f>SUM(H23:H34)</f>
        <v>3897180</v>
      </c>
    </row>
    <row r="37" spans="1:18" x14ac:dyDescent="0.3">
      <c r="B37" s="28" t="s">
        <v>74</v>
      </c>
      <c r="C37" s="21"/>
      <c r="D37" s="21"/>
      <c r="E37" s="21"/>
      <c r="F37" s="21"/>
      <c r="G37" s="34">
        <f>(G23*F23+G24*F24+G25*F25+G26*F26+G27*F27+G28*F28+G29*F29+G30*F30+G31*F31+G32*F32+G33*F33+G34*F34)/F36</f>
        <v>0.19465288250339402</v>
      </c>
      <c r="H37" s="2"/>
      <c r="I37" s="33">
        <f>(I23*H23+I24*H24+I25*H25+I26*H26+I27*H27+I28*H28+I29*H29+I30*H30+I31*H31+I32*H32+I33*H33+I34*H34)/H36</f>
        <v>8.6667204627006486E-2</v>
      </c>
      <c r="J37" s="34">
        <f>(J23*H23+J24*H24+J25*H25+J26*H26+J27*H27+J28*H28+J29*J29+J30*H30+J31*H31+J32*H32+J33*H33+J34*H34)/H36</f>
        <v>0.42989244482819727</v>
      </c>
    </row>
    <row r="38" spans="1:18" x14ac:dyDescent="0.3">
      <c r="A38" s="24"/>
      <c r="B38" s="24"/>
      <c r="C38" s="24"/>
      <c r="D38" s="24"/>
      <c r="E38" s="24"/>
      <c r="F38" s="24"/>
      <c r="G38" s="23"/>
    </row>
    <row r="39" spans="1:18" x14ac:dyDescent="0.3">
      <c r="B39" s="62" t="s">
        <v>51</v>
      </c>
      <c r="C39" s="58"/>
    </row>
    <row r="40" spans="1:18" x14ac:dyDescent="0.3">
      <c r="B40" s="24" t="s">
        <v>41</v>
      </c>
      <c r="C40" s="63"/>
      <c r="K40" s="165"/>
      <c r="L40" s="165"/>
      <c r="M40" s="165"/>
      <c r="N40" s="165"/>
      <c r="O40" s="165"/>
      <c r="P40" s="165"/>
      <c r="Q40" s="165"/>
      <c r="R40" s="165"/>
    </row>
    <row r="41" spans="1:18" x14ac:dyDescent="0.3">
      <c r="B41" s="59"/>
      <c r="C41" s="60" t="s">
        <v>7</v>
      </c>
      <c r="D41" s="60" t="s">
        <v>8</v>
      </c>
      <c r="E41" s="60" t="s">
        <v>10</v>
      </c>
      <c r="F41" s="60" t="s">
        <v>9</v>
      </c>
      <c r="G41" s="60" t="s">
        <v>13</v>
      </c>
      <c r="H41" s="75" t="s">
        <v>40</v>
      </c>
      <c r="I41" s="75" t="s">
        <v>39</v>
      </c>
      <c r="J41" s="163" t="s">
        <v>26</v>
      </c>
      <c r="K41" s="165"/>
      <c r="L41" s="166"/>
      <c r="M41" s="167"/>
      <c r="N41" s="167"/>
      <c r="O41" s="167"/>
      <c r="P41" s="167"/>
      <c r="Q41" s="167"/>
      <c r="R41" s="165"/>
    </row>
    <row r="42" spans="1:18" x14ac:dyDescent="0.3">
      <c r="B42" s="61" t="s">
        <v>0</v>
      </c>
      <c r="C42" s="11">
        <f>C5+C23</f>
        <v>209360</v>
      </c>
      <c r="D42" s="112">
        <f>D5+D23</f>
        <v>59370524</v>
      </c>
      <c r="E42" s="105">
        <f>E5</f>
        <v>1074</v>
      </c>
      <c r="F42" s="105">
        <f t="shared" ref="F42:F47" si="54">D42/E42</f>
        <v>55279.817504655497</v>
      </c>
      <c r="G42" s="104">
        <f t="shared" ref="G42:G47" si="55">F42/C42</f>
        <v>0.26404192541390664</v>
      </c>
      <c r="H42" s="11">
        <f t="shared" ref="H42" si="56">H5+H23</f>
        <v>615394</v>
      </c>
      <c r="I42" s="103">
        <f t="shared" ref="I42:I47" si="57">F42/H42</f>
        <v>8.9828333562978341E-2</v>
      </c>
      <c r="J42" s="164">
        <f t="shared" ref="J42:J47" si="58">C42/H42</f>
        <v>0.34020481187661888</v>
      </c>
      <c r="K42" s="165"/>
      <c r="L42" s="17"/>
      <c r="M42" s="168"/>
      <c r="N42" s="169"/>
      <c r="O42" s="170"/>
      <c r="P42" s="168"/>
      <c r="Q42" s="171"/>
      <c r="R42" s="165"/>
    </row>
    <row r="43" spans="1:18" x14ac:dyDescent="0.3">
      <c r="B43" s="61" t="s">
        <v>1</v>
      </c>
      <c r="C43" s="11">
        <f>C6+C24</f>
        <v>359845</v>
      </c>
      <c r="D43" s="112">
        <f t="shared" ref="D43:D53" si="59">D6+D24</f>
        <v>72033562</v>
      </c>
      <c r="E43" s="105">
        <f>E6</f>
        <v>1084</v>
      </c>
      <c r="F43" s="105">
        <f t="shared" si="54"/>
        <v>66451.625461254618</v>
      </c>
      <c r="G43" s="104">
        <f t="shared" si="55"/>
        <v>0.18466735806042772</v>
      </c>
      <c r="H43" s="11">
        <f t="shared" ref="H43:H53" si="60">H6+H24</f>
        <v>549630</v>
      </c>
      <c r="I43" s="103">
        <f t="shared" si="57"/>
        <v>0.12090247159226138</v>
      </c>
      <c r="J43" s="164">
        <f t="shared" si="58"/>
        <v>0.65470407364954608</v>
      </c>
      <c r="K43" s="165"/>
      <c r="L43" s="17"/>
      <c r="M43" s="168"/>
      <c r="N43" s="169"/>
      <c r="O43" s="170"/>
      <c r="P43" s="168"/>
      <c r="Q43" s="171"/>
      <c r="R43" s="165"/>
    </row>
    <row r="44" spans="1:18" x14ac:dyDescent="0.3">
      <c r="B44" s="61" t="s">
        <v>2</v>
      </c>
      <c r="C44" s="11">
        <f>C7+C25</f>
        <v>331035</v>
      </c>
      <c r="D44" s="112">
        <f t="shared" si="59"/>
        <v>70067677</v>
      </c>
      <c r="E44" s="105">
        <f>E7</f>
        <v>1094</v>
      </c>
      <c r="F44" s="105">
        <f t="shared" si="54"/>
        <v>64047.236745886657</v>
      </c>
      <c r="G44" s="104">
        <f t="shared" si="55"/>
        <v>0.19347572536404506</v>
      </c>
      <c r="H44" s="11">
        <f t="shared" si="60"/>
        <v>571590</v>
      </c>
      <c r="I44" s="103">
        <f t="shared" si="57"/>
        <v>0.11205100989500631</v>
      </c>
      <c r="J44" s="164">
        <f t="shared" si="58"/>
        <v>0.5791476407914764</v>
      </c>
      <c r="K44" s="165"/>
      <c r="L44" s="17"/>
      <c r="M44" s="168"/>
      <c r="N44" s="169"/>
      <c r="O44" s="170"/>
      <c r="P44" s="168"/>
      <c r="Q44" s="171"/>
      <c r="R44" s="165"/>
    </row>
    <row r="45" spans="1:18" x14ac:dyDescent="0.3">
      <c r="B45" s="61" t="s">
        <v>3</v>
      </c>
      <c r="C45" s="11">
        <f t="shared" ref="C45:C53" si="61">C8+C26</f>
        <v>358895</v>
      </c>
      <c r="D45" s="112">
        <f t="shared" si="59"/>
        <v>73712709</v>
      </c>
      <c r="E45" s="105">
        <f t="shared" ref="E45:E53" si="62">E8</f>
        <v>1114</v>
      </c>
      <c r="F45" s="105">
        <f t="shared" si="54"/>
        <v>66169.397666068224</v>
      </c>
      <c r="G45" s="104">
        <f t="shared" si="55"/>
        <v>0.18436979524949698</v>
      </c>
      <c r="H45" s="11">
        <f t="shared" si="60"/>
        <v>1805204</v>
      </c>
      <c r="I45" s="103">
        <f t="shared" si="57"/>
        <v>3.6654803371845082E-2</v>
      </c>
      <c r="J45" s="164">
        <f t="shared" si="58"/>
        <v>0.19881132547900404</v>
      </c>
      <c r="K45" s="165"/>
      <c r="L45" s="17"/>
      <c r="M45" s="168"/>
      <c r="N45" s="169"/>
      <c r="O45" s="170"/>
      <c r="P45" s="168"/>
      <c r="Q45" s="171"/>
      <c r="R45" s="165"/>
    </row>
    <row r="46" spans="1:18" x14ac:dyDescent="0.3">
      <c r="B46" s="61" t="s">
        <v>4</v>
      </c>
      <c r="C46" s="11">
        <f t="shared" si="61"/>
        <v>362250.4</v>
      </c>
      <c r="D46" s="111">
        <f t="shared" si="59"/>
        <v>75391743.640000001</v>
      </c>
      <c r="E46" s="12">
        <v>1188.5</v>
      </c>
      <c r="F46" s="105">
        <f t="shared" si="54"/>
        <v>63434.365704669755</v>
      </c>
      <c r="G46" s="104">
        <f t="shared" si="55"/>
        <v>0.17511192728750541</v>
      </c>
      <c r="H46" s="11">
        <f t="shared" si="60"/>
        <v>2818877</v>
      </c>
      <c r="I46" s="103">
        <f t="shared" si="57"/>
        <v>2.25034173909219E-2</v>
      </c>
      <c r="J46" s="164">
        <f t="shared" si="58"/>
        <v>0.12850876430578562</v>
      </c>
      <c r="K46" s="165"/>
      <c r="L46" s="17"/>
      <c r="M46" s="168"/>
      <c r="N46" s="169"/>
      <c r="O46" s="170"/>
      <c r="P46" s="168"/>
      <c r="Q46" s="171"/>
      <c r="R46" s="165"/>
    </row>
    <row r="47" spans="1:18" x14ac:dyDescent="0.3">
      <c r="B47" s="61" t="s">
        <v>5</v>
      </c>
      <c r="C47" s="11">
        <f t="shared" si="61"/>
        <v>410035</v>
      </c>
      <c r="D47" s="111">
        <f t="shared" si="59"/>
        <v>89326052</v>
      </c>
      <c r="E47" s="12">
        <f t="shared" si="62"/>
        <v>1213</v>
      </c>
      <c r="F47" s="105">
        <f t="shared" si="54"/>
        <v>73640.6034624897</v>
      </c>
      <c r="G47" s="104">
        <f t="shared" si="55"/>
        <v>0.17959589660026509</v>
      </c>
      <c r="H47" s="11">
        <f t="shared" si="60"/>
        <v>2804727</v>
      </c>
      <c r="I47" s="103">
        <f t="shared" si="57"/>
        <v>2.6255889953813581E-2</v>
      </c>
      <c r="J47" s="164">
        <f t="shared" si="58"/>
        <v>0.14619426418328771</v>
      </c>
      <c r="K47" s="165"/>
      <c r="L47" s="17"/>
      <c r="M47" s="168"/>
      <c r="N47" s="169"/>
      <c r="O47" s="170"/>
      <c r="P47" s="168"/>
      <c r="Q47" s="171"/>
      <c r="R47" s="165"/>
    </row>
    <row r="48" spans="1:18" x14ac:dyDescent="0.3">
      <c r="B48" s="61" t="s">
        <v>6</v>
      </c>
      <c r="C48" s="11">
        <f t="shared" si="61"/>
        <v>446424.95</v>
      </c>
      <c r="D48" s="111">
        <f t="shared" si="59"/>
        <v>95807726</v>
      </c>
      <c r="E48" s="12">
        <f t="shared" si="62"/>
        <v>1325</v>
      </c>
      <c r="F48" s="105">
        <f t="shared" ref="F48" si="63">D48/E48</f>
        <v>72307.717735849059</v>
      </c>
      <c r="G48" s="104">
        <f t="shared" ref="G48" si="64">F48/C48</f>
        <v>0.16197060163382235</v>
      </c>
      <c r="H48" s="11">
        <f t="shared" si="60"/>
        <v>3024982</v>
      </c>
      <c r="I48" s="103">
        <f t="shared" ref="I48" si="65">F48/H48</f>
        <v>2.390351999973853E-2</v>
      </c>
      <c r="J48" s="164">
        <f t="shared" ref="J48" si="66">C48/H48</f>
        <v>0.14757937402602728</v>
      </c>
      <c r="K48" s="165"/>
      <c r="L48" s="17"/>
      <c r="M48" s="168"/>
      <c r="N48" s="169"/>
      <c r="O48" s="170"/>
      <c r="P48" s="168"/>
      <c r="Q48" s="171"/>
      <c r="R48" s="165"/>
    </row>
    <row r="49" spans="2:18" x14ac:dyDescent="0.3">
      <c r="B49" s="61" t="s">
        <v>16</v>
      </c>
      <c r="C49" s="11">
        <f t="shared" si="61"/>
        <v>375860</v>
      </c>
      <c r="D49" s="111">
        <f t="shared" si="59"/>
        <v>85899651.099999994</v>
      </c>
      <c r="E49" s="12">
        <f t="shared" si="62"/>
        <v>1360</v>
      </c>
      <c r="F49" s="105">
        <f t="shared" ref="F49" si="67">D49/E49</f>
        <v>63161.508161764701</v>
      </c>
      <c r="G49" s="104">
        <f t="shared" ref="G49" si="68">F49/C49</f>
        <v>0.16804530453297692</v>
      </c>
      <c r="H49" s="11">
        <f t="shared" si="60"/>
        <v>3040436</v>
      </c>
      <c r="I49" s="103">
        <f t="shared" ref="I49" si="69">F49/H49</f>
        <v>2.077383249039437E-2</v>
      </c>
      <c r="J49" s="164">
        <f t="shared" ref="J49" si="70">C49/H49</f>
        <v>0.1236204281228087</v>
      </c>
      <c r="K49" s="165"/>
      <c r="L49" s="17"/>
      <c r="M49" s="168"/>
      <c r="N49" s="169"/>
      <c r="O49" s="170"/>
      <c r="P49" s="168"/>
      <c r="Q49" s="171"/>
      <c r="R49" s="165"/>
    </row>
    <row r="50" spans="2:18" x14ac:dyDescent="0.3">
      <c r="B50" s="61" t="s">
        <v>20</v>
      </c>
      <c r="C50" s="11">
        <f t="shared" si="61"/>
        <v>435766</v>
      </c>
      <c r="D50" s="111">
        <f t="shared" si="59"/>
        <v>111461244</v>
      </c>
      <c r="E50" s="12">
        <v>1450</v>
      </c>
      <c r="F50" s="105">
        <f t="shared" ref="F50" si="71">D50/E50</f>
        <v>76869.823448275856</v>
      </c>
      <c r="G50" s="104">
        <f t="shared" ref="G50" si="72">F50/C50</f>
        <v>0.17640160877231326</v>
      </c>
      <c r="H50" s="11">
        <f t="shared" si="60"/>
        <v>2896236</v>
      </c>
      <c r="I50" s="103">
        <f t="shared" ref="I50" si="73">F50/H50</f>
        <v>2.654128442857414E-2</v>
      </c>
      <c r="J50" s="164">
        <f t="shared" ref="J50" si="74">C50/H50</f>
        <v>0.15045942388672745</v>
      </c>
      <c r="K50" s="165"/>
      <c r="L50" s="17"/>
      <c r="M50" s="168"/>
      <c r="N50" s="169"/>
      <c r="O50" s="170"/>
      <c r="P50" s="168"/>
      <c r="Q50" s="171"/>
      <c r="R50" s="165"/>
    </row>
    <row r="51" spans="2:18" x14ac:dyDescent="0.3">
      <c r="B51" s="61" t="s">
        <v>21</v>
      </c>
      <c r="C51" s="11">
        <f t="shared" si="61"/>
        <v>405117</v>
      </c>
      <c r="D51" s="111">
        <f t="shared" si="59"/>
        <v>100297455</v>
      </c>
      <c r="E51" s="12">
        <f t="shared" si="62"/>
        <v>1435</v>
      </c>
      <c r="F51" s="105">
        <f t="shared" ref="F51" si="75">D51/E51</f>
        <v>69893.696864111495</v>
      </c>
      <c r="G51" s="104">
        <f t="shared" ref="G51" si="76">F51/C51</f>
        <v>0.17252718810642725</v>
      </c>
      <c r="H51" s="11">
        <f t="shared" si="60"/>
        <v>2715838</v>
      </c>
      <c r="I51" s="103">
        <f t="shared" ref="I51" si="77">F51/H51</f>
        <v>2.5735591321762012E-2</v>
      </c>
      <c r="J51" s="164">
        <f t="shared" ref="J51" si="78">C51/H51</f>
        <v>0.14916832300012003</v>
      </c>
      <c r="K51" s="165"/>
      <c r="L51" s="17"/>
      <c r="M51" s="168"/>
      <c r="N51" s="169"/>
      <c r="O51" s="170"/>
      <c r="P51" s="168"/>
      <c r="Q51" s="171"/>
      <c r="R51" s="165"/>
    </row>
    <row r="52" spans="2:18" x14ac:dyDescent="0.3">
      <c r="B52" s="61" t="s">
        <v>22</v>
      </c>
      <c r="C52" s="11">
        <f t="shared" si="61"/>
        <v>449673</v>
      </c>
      <c r="D52" s="111">
        <f t="shared" si="59"/>
        <v>105751394.40000001</v>
      </c>
      <c r="E52" s="12">
        <f t="shared" si="62"/>
        <v>1450</v>
      </c>
      <c r="F52" s="105">
        <f t="shared" ref="F52" si="79">D52/E52</f>
        <v>72931.996137931041</v>
      </c>
      <c r="G52" s="104">
        <f t="shared" ref="G52" si="80">F52/C52</f>
        <v>0.16218895983955239</v>
      </c>
      <c r="H52" s="11">
        <f t="shared" si="60"/>
        <v>1933070</v>
      </c>
      <c r="I52" s="103">
        <f t="shared" ref="I52" si="81">F52/H52</f>
        <v>3.7728585171737723E-2</v>
      </c>
      <c r="J52" s="164">
        <f t="shared" ref="J52" si="82">C52/H52</f>
        <v>0.23262116736589983</v>
      </c>
      <c r="K52" s="165"/>
      <c r="L52" s="17"/>
      <c r="M52" s="168"/>
      <c r="N52" s="169"/>
      <c r="O52" s="170"/>
      <c r="P52" s="168"/>
      <c r="Q52" s="171"/>
      <c r="R52" s="165"/>
    </row>
    <row r="53" spans="2:18" x14ac:dyDescent="0.3">
      <c r="B53" s="61" t="s">
        <v>23</v>
      </c>
      <c r="C53" s="11">
        <f t="shared" si="61"/>
        <v>328647</v>
      </c>
      <c r="D53" s="11">
        <f t="shared" si="59"/>
        <v>92655714</v>
      </c>
      <c r="E53" s="12">
        <f t="shared" si="62"/>
        <v>1464</v>
      </c>
      <c r="F53" s="105">
        <f t="shared" ref="F53" si="83">D53/E53</f>
        <v>63289.422131147541</v>
      </c>
      <c r="G53" s="104">
        <f t="shared" ref="G53" si="84">F53/C53</f>
        <v>0.19257568799090677</v>
      </c>
      <c r="H53" s="11">
        <f t="shared" si="60"/>
        <v>1415549</v>
      </c>
      <c r="I53" s="103">
        <f t="shared" ref="I53" si="85">F53/H53</f>
        <v>4.4710159896370623E-2</v>
      </c>
      <c r="J53" s="164">
        <f t="shared" ref="J53" si="86">C53/H53</f>
        <v>0.23216928555634597</v>
      </c>
      <c r="K53" s="165"/>
      <c r="L53" s="17"/>
      <c r="M53" s="168"/>
      <c r="N53" s="169"/>
      <c r="O53" s="170"/>
      <c r="P53" s="168"/>
      <c r="Q53" s="171"/>
      <c r="R53" s="165"/>
    </row>
    <row r="54" spans="2:18" x14ac:dyDescent="0.3">
      <c r="K54" s="165"/>
      <c r="L54" s="28"/>
      <c r="M54" s="172"/>
      <c r="N54" s="173"/>
      <c r="O54" s="174"/>
      <c r="P54" s="175"/>
      <c r="Q54" s="176"/>
      <c r="R54" s="165"/>
    </row>
    <row r="55" spans="2:18" x14ac:dyDescent="0.3">
      <c r="B55" s="17" t="s">
        <v>24</v>
      </c>
      <c r="C55" s="18">
        <f>SUM(C42:C53)</f>
        <v>4472908.3499999996</v>
      </c>
      <c r="D55" s="18"/>
      <c r="E55" s="18"/>
      <c r="F55" s="18">
        <f>SUM(F42:F53)</f>
        <v>807477.21102410415</v>
      </c>
      <c r="G55" s="18"/>
      <c r="H55" s="18">
        <f>SUM(H42:H53)</f>
        <v>24191533</v>
      </c>
      <c r="K55" s="165"/>
      <c r="L55" s="165"/>
      <c r="M55" s="177"/>
      <c r="N55" s="165"/>
      <c r="O55" s="178"/>
      <c r="P55" s="177"/>
      <c r="Q55" s="179"/>
      <c r="R55" s="165"/>
    </row>
    <row r="56" spans="2:18" x14ac:dyDescent="0.3">
      <c r="B56" s="114" t="s">
        <v>74</v>
      </c>
      <c r="C56" s="115"/>
      <c r="D56" s="115"/>
      <c r="E56" s="115"/>
      <c r="F56" s="116">
        <f>AVERAGE(F42:F53)</f>
        <v>67289.767585342008</v>
      </c>
      <c r="G56" s="117">
        <f>(G42*F42+G43*F43+G44*F44+G45*F45+G46*F46+G47*F47+G48*F48+G49*F49+G50*F50+G51*F51+G52*F52+G53*F53)/F55</f>
        <v>0.18298167824586045</v>
      </c>
      <c r="H56" s="118"/>
      <c r="I56" s="117">
        <f>(I42*H42+I43*H43+I44*H44+I45*H45+I46*H46+I47*H47+I48*H48+I49*H49+I50*H50+H51*I51+H52*I52+H53*I53)/H55</f>
        <v>3.337850524082555E-2</v>
      </c>
      <c r="J56" s="117">
        <f>(J42*H42+J43*H43+J44*H44+J45*H45+J46*H46+J47*H47+J48*J48+J49*H49+J50*H50+J51*H51+J52*H52+J53*H53)/H55</f>
        <v>0.16644184648321675</v>
      </c>
      <c r="K56" s="165"/>
      <c r="L56" s="165"/>
      <c r="M56" s="177"/>
      <c r="N56" s="165"/>
      <c r="O56" s="165"/>
      <c r="P56" s="178"/>
      <c r="Q56" s="177"/>
      <c r="R56" s="165"/>
    </row>
    <row r="57" spans="2:18" x14ac:dyDescent="0.3">
      <c r="M57" s="76"/>
      <c r="Q57" s="93"/>
    </row>
    <row r="58" spans="2:18" x14ac:dyDescent="0.3">
      <c r="M58" s="76"/>
    </row>
    <row r="59" spans="2:18" x14ac:dyDescent="0.3">
      <c r="M59" s="76"/>
    </row>
    <row r="60" spans="2:18" x14ac:dyDescent="0.3">
      <c r="M60" s="76"/>
    </row>
    <row r="61" spans="2:18" x14ac:dyDescent="0.3">
      <c r="M61" s="76"/>
    </row>
    <row r="62" spans="2:18" x14ac:dyDescent="0.3">
      <c r="M62" s="76"/>
    </row>
    <row r="63" spans="2:18" x14ac:dyDescent="0.3">
      <c r="M63" s="76"/>
    </row>
    <row r="64" spans="2:18" x14ac:dyDescent="0.3">
      <c r="M64" s="76"/>
    </row>
    <row r="65" spans="13:13" x14ac:dyDescent="0.3">
      <c r="M65" s="76"/>
    </row>
    <row r="66" spans="13:13" x14ac:dyDescent="0.3">
      <c r="M66" s="76"/>
    </row>
    <row r="67" spans="13:13" x14ac:dyDescent="0.3">
      <c r="M67" s="76"/>
    </row>
    <row r="68" spans="13:13" x14ac:dyDescent="0.3">
      <c r="M68" s="76"/>
    </row>
    <row r="69" spans="13:13" x14ac:dyDescent="0.3">
      <c r="M69" s="76"/>
    </row>
    <row r="70" spans="13:13" x14ac:dyDescent="0.3">
      <c r="M70" s="76"/>
    </row>
    <row r="71" spans="13:13" x14ac:dyDescent="0.3">
      <c r="M71" s="76"/>
    </row>
    <row r="72" spans="13:13" x14ac:dyDescent="0.3">
      <c r="M72" s="76"/>
    </row>
    <row r="73" spans="13:13" x14ac:dyDescent="0.3">
      <c r="M73" s="76"/>
    </row>
    <row r="74" spans="13:13" x14ac:dyDescent="0.3">
      <c r="M74" s="76"/>
    </row>
    <row r="75" spans="13:13" x14ac:dyDescent="0.3">
      <c r="M75" s="76"/>
    </row>
    <row r="76" spans="13:13" x14ac:dyDescent="0.3">
      <c r="M76" s="76"/>
    </row>
    <row r="77" spans="13:13" x14ac:dyDescent="0.3">
      <c r="M77" s="76"/>
    </row>
    <row r="78" spans="13:13" x14ac:dyDescent="0.3">
      <c r="M78" s="76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9"/>
  <sheetViews>
    <sheetView topLeftCell="I21" workbookViewId="0">
      <selection activeCell="R2" sqref="R2:Y49"/>
    </sheetView>
  </sheetViews>
  <sheetFormatPr baseColWidth="10" defaultRowHeight="14.4" x14ac:dyDescent="0.3"/>
  <sheetData>
    <row r="1" spans="2:19" ht="21" x14ac:dyDescent="0.4">
      <c r="B1" s="64">
        <v>2025</v>
      </c>
    </row>
    <row r="2" spans="2:19" ht="18" x14ac:dyDescent="0.35">
      <c r="B2" s="65" t="s">
        <v>17</v>
      </c>
      <c r="C2" s="39"/>
      <c r="D2" s="39"/>
      <c r="J2" s="65" t="s">
        <v>17</v>
      </c>
      <c r="K2" s="39"/>
      <c r="R2" s="65" t="s">
        <v>17</v>
      </c>
      <c r="S2" s="39"/>
    </row>
    <row r="3" spans="2:19" x14ac:dyDescent="0.3">
      <c r="B3" s="102" t="s">
        <v>61</v>
      </c>
      <c r="J3" t="s">
        <v>52</v>
      </c>
      <c r="R3" t="s">
        <v>53</v>
      </c>
    </row>
    <row r="4" spans="2:19" x14ac:dyDescent="0.3">
      <c r="C4" s="2" t="s">
        <v>43</v>
      </c>
      <c r="K4" s="2" t="s">
        <v>43</v>
      </c>
      <c r="S4" s="2" t="s">
        <v>43</v>
      </c>
    </row>
    <row r="5" spans="2:19" x14ac:dyDescent="0.3">
      <c r="B5" s="2" t="s">
        <v>0</v>
      </c>
      <c r="C5" s="3">
        <f>datos25!C5</f>
        <v>148340</v>
      </c>
      <c r="J5" s="2" t="s">
        <v>0</v>
      </c>
      <c r="K5" s="3">
        <f>datos25!C23</f>
        <v>61020</v>
      </c>
      <c r="R5" s="2" t="s">
        <v>0</v>
      </c>
      <c r="S5" s="3">
        <f>datos25!C42</f>
        <v>209360</v>
      </c>
    </row>
    <row r="6" spans="2:19" x14ac:dyDescent="0.3">
      <c r="B6" s="2" t="s">
        <v>1</v>
      </c>
      <c r="C6" s="3">
        <f>datos25!C6</f>
        <v>161773</v>
      </c>
      <c r="J6" s="2" t="s">
        <v>1</v>
      </c>
      <c r="K6" s="3">
        <f>datos25!C24</f>
        <v>198072</v>
      </c>
      <c r="R6" s="2" t="s">
        <v>1</v>
      </c>
      <c r="S6" s="3">
        <f>datos25!C43</f>
        <v>359845</v>
      </c>
    </row>
    <row r="7" spans="2:19" x14ac:dyDescent="0.3">
      <c r="B7" s="2" t="s">
        <v>2</v>
      </c>
      <c r="C7" s="3">
        <f>datos25!C7</f>
        <v>151287</v>
      </c>
      <c r="J7" s="2" t="s">
        <v>2</v>
      </c>
      <c r="K7" s="3">
        <f>datos25!C25</f>
        <v>179748</v>
      </c>
      <c r="R7" s="2" t="s">
        <v>2</v>
      </c>
      <c r="S7" s="3">
        <f>datos25!C44</f>
        <v>331035</v>
      </c>
    </row>
    <row r="8" spans="2:19" x14ac:dyDescent="0.3">
      <c r="B8" s="2" t="s">
        <v>3</v>
      </c>
      <c r="C8" s="3">
        <f>datos25!C8</f>
        <v>213995</v>
      </c>
      <c r="J8" s="2" t="s">
        <v>3</v>
      </c>
      <c r="K8" s="3">
        <f>datos25!C26</f>
        <v>144900</v>
      </c>
      <c r="R8" s="2" t="s">
        <v>3</v>
      </c>
      <c r="S8" s="3">
        <f>datos25!C45</f>
        <v>358895</v>
      </c>
    </row>
    <row r="9" spans="2:19" x14ac:dyDescent="0.3">
      <c r="B9" s="2" t="s">
        <v>4</v>
      </c>
      <c r="C9" s="3">
        <f>datos25!C9</f>
        <v>219258.4</v>
      </c>
      <c r="J9" s="2" t="s">
        <v>4</v>
      </c>
      <c r="K9" s="3">
        <f>datos25!C27</f>
        <v>142992</v>
      </c>
      <c r="R9" s="2" t="s">
        <v>4</v>
      </c>
      <c r="S9" s="3">
        <f>datos25!C46</f>
        <v>362250.4</v>
      </c>
    </row>
    <row r="10" spans="2:19" x14ac:dyDescent="0.3">
      <c r="B10" s="2" t="s">
        <v>5</v>
      </c>
      <c r="C10" s="3">
        <f>datos25!C10</f>
        <v>256315</v>
      </c>
      <c r="J10" s="2" t="s">
        <v>5</v>
      </c>
      <c r="K10" s="3">
        <f>datos25!C28</f>
        <v>153720</v>
      </c>
      <c r="R10" s="2" t="s">
        <v>5</v>
      </c>
      <c r="S10" s="3">
        <f>datos25!C47</f>
        <v>410035</v>
      </c>
    </row>
    <row r="11" spans="2:19" x14ac:dyDescent="0.3">
      <c r="B11" s="2" t="s">
        <v>6</v>
      </c>
      <c r="C11" s="3">
        <f>datos25!C11</f>
        <v>266424.95</v>
      </c>
      <c r="J11" s="2" t="s">
        <v>6</v>
      </c>
      <c r="K11" s="3">
        <f>datos25!C29</f>
        <v>180000</v>
      </c>
      <c r="R11" s="2" t="s">
        <v>6</v>
      </c>
      <c r="S11" s="3">
        <f>datos25!C48</f>
        <v>446424.95</v>
      </c>
    </row>
    <row r="12" spans="2:19" x14ac:dyDescent="0.3">
      <c r="B12" s="2" t="s">
        <v>16</v>
      </c>
      <c r="C12" s="3">
        <f>datos25!C12</f>
        <v>238700</v>
      </c>
      <c r="J12" s="2" t="s">
        <v>16</v>
      </c>
      <c r="K12" s="3">
        <f>datos25!C30</f>
        <v>137160</v>
      </c>
      <c r="R12" s="2" t="s">
        <v>16</v>
      </c>
      <c r="S12" s="3">
        <f>datos25!C49</f>
        <v>375860</v>
      </c>
    </row>
    <row r="13" spans="2:19" x14ac:dyDescent="0.3">
      <c r="B13" s="2" t="s">
        <v>20</v>
      </c>
      <c r="C13" s="3">
        <f>datos25!C13</f>
        <v>256630</v>
      </c>
      <c r="J13" s="2" t="s">
        <v>20</v>
      </c>
      <c r="K13" s="3">
        <f>datos25!C31</f>
        <v>179136</v>
      </c>
      <c r="R13" s="2" t="s">
        <v>20</v>
      </c>
      <c r="S13" s="3">
        <f>datos25!C50</f>
        <v>435766</v>
      </c>
    </row>
    <row r="14" spans="2:19" x14ac:dyDescent="0.3">
      <c r="B14" s="2" t="s">
        <v>21</v>
      </c>
      <c r="C14" s="3">
        <f>datos25!C14</f>
        <v>231633</v>
      </c>
      <c r="J14" s="2" t="s">
        <v>21</v>
      </c>
      <c r="K14" s="3">
        <f>datos25!C32</f>
        <v>173484</v>
      </c>
      <c r="R14" s="2" t="s">
        <v>21</v>
      </c>
      <c r="S14" s="3">
        <f>datos25!C51</f>
        <v>405117</v>
      </c>
    </row>
    <row r="15" spans="2:19" x14ac:dyDescent="0.3">
      <c r="B15" s="2" t="s">
        <v>22</v>
      </c>
      <c r="C15" s="3">
        <f>datos25!C15</f>
        <v>270285</v>
      </c>
      <c r="J15" s="2" t="s">
        <v>22</v>
      </c>
      <c r="K15" s="3">
        <f>datos25!C33</f>
        <v>179388</v>
      </c>
      <c r="R15" s="2" t="s">
        <v>22</v>
      </c>
      <c r="S15" s="3">
        <f>datos25!C52</f>
        <v>449673</v>
      </c>
    </row>
    <row r="16" spans="2:19" x14ac:dyDescent="0.3">
      <c r="B16" s="2" t="s">
        <v>23</v>
      </c>
      <c r="C16" s="3">
        <f>datos25!C16</f>
        <v>202899</v>
      </c>
      <c r="J16" s="2" t="s">
        <v>23</v>
      </c>
      <c r="K16" s="3">
        <f>datos25!C34</f>
        <v>125748</v>
      </c>
      <c r="R16" s="2" t="s">
        <v>23</v>
      </c>
      <c r="S16" s="3">
        <f>datos25!C53</f>
        <v>328647</v>
      </c>
    </row>
    <row r="17" spans="2:19" x14ac:dyDescent="0.3">
      <c r="B17" s="95" t="s">
        <v>14</v>
      </c>
      <c r="C17" s="96">
        <f>AVERAGE(C5:C16)</f>
        <v>218128.36249999996</v>
      </c>
      <c r="J17" s="97" t="s">
        <v>14</v>
      </c>
      <c r="K17" s="98">
        <f>AVERAGE(K5:K16)</f>
        <v>154614</v>
      </c>
      <c r="R17" s="97" t="s">
        <v>14</v>
      </c>
      <c r="S17" s="98">
        <f>AVERAGE(S5:S16)</f>
        <v>372742.36249999999</v>
      </c>
    </row>
    <row r="19" spans="2:19" ht="18" x14ac:dyDescent="0.35">
      <c r="B19" s="65" t="s">
        <v>19</v>
      </c>
      <c r="C19" s="39"/>
      <c r="D19" s="39"/>
      <c r="J19" s="65" t="s">
        <v>19</v>
      </c>
      <c r="K19" s="39"/>
      <c r="R19" s="65" t="s">
        <v>19</v>
      </c>
      <c r="S19" s="39"/>
    </row>
    <row r="20" spans="2:19" x14ac:dyDescent="0.3">
      <c r="C20" s="2" t="s">
        <v>13</v>
      </c>
      <c r="K20" s="2" t="s">
        <v>13</v>
      </c>
      <c r="S20" s="2" t="s">
        <v>13</v>
      </c>
    </row>
    <row r="21" spans="2:19" x14ac:dyDescent="0.3">
      <c r="B21" s="2" t="s">
        <v>0</v>
      </c>
      <c r="C21" s="4">
        <f>datos25!G5</f>
        <v>0.19390157971683653</v>
      </c>
      <c r="J21" s="2" t="s">
        <v>0</v>
      </c>
      <c r="K21" s="4">
        <f>datos25!G23</f>
        <v>0.43455354260013046</v>
      </c>
      <c r="R21" s="2" t="s">
        <v>0</v>
      </c>
      <c r="S21" s="4">
        <f>datos25!G42</f>
        <v>0.26404192541390664</v>
      </c>
    </row>
    <row r="22" spans="2:19" x14ac:dyDescent="0.3">
      <c r="B22" s="2" t="s">
        <v>1</v>
      </c>
      <c r="C22" s="4">
        <f>datos25!G6</f>
        <v>0.20126572852767158</v>
      </c>
      <c r="J22" s="2" t="s">
        <v>1</v>
      </c>
      <c r="K22" s="4">
        <f>datos25!G24</f>
        <v>0.17111083222337128</v>
      </c>
      <c r="R22" s="2" t="s">
        <v>1</v>
      </c>
      <c r="S22" s="4">
        <f>datos25!G43</f>
        <v>0.18466735806042772</v>
      </c>
    </row>
    <row r="23" spans="2:19" x14ac:dyDescent="0.3">
      <c r="B23" s="2" t="s">
        <v>2</v>
      </c>
      <c r="C23" s="4">
        <f>datos25!G7</f>
        <v>0.21822593349548383</v>
      </c>
      <c r="J23" s="2" t="s">
        <v>2</v>
      </c>
      <c r="K23" s="4">
        <f>datos25!G25</f>
        <v>0.17264442411128578</v>
      </c>
      <c r="R23" s="2" t="s">
        <v>2</v>
      </c>
      <c r="S23" s="4">
        <f>datos25!G44</f>
        <v>0.19347572536404506</v>
      </c>
    </row>
    <row r="24" spans="2:19" x14ac:dyDescent="0.3">
      <c r="B24" s="2" t="s">
        <v>3</v>
      </c>
      <c r="C24" s="4">
        <f>datos25!G8</f>
        <v>0.18570685492702035</v>
      </c>
      <c r="J24" s="2" t="s">
        <v>3</v>
      </c>
      <c r="K24" s="4">
        <f>datos25!G26</f>
        <v>0.18239516387826435</v>
      </c>
      <c r="R24" s="2" t="s">
        <v>3</v>
      </c>
      <c r="S24" s="4">
        <f>datos25!G45</f>
        <v>0.18436979524949698</v>
      </c>
    </row>
    <row r="25" spans="2:19" x14ac:dyDescent="0.3">
      <c r="B25" s="2" t="s">
        <v>4</v>
      </c>
      <c r="C25" s="4">
        <f>datos25!G9</f>
        <v>0.17983603411111754</v>
      </c>
      <c r="J25" s="2" t="s">
        <v>4</v>
      </c>
      <c r="K25" s="4">
        <f>datos25!G27</f>
        <v>0.17798518463630572</v>
      </c>
      <c r="R25" s="2" t="s">
        <v>4</v>
      </c>
      <c r="S25" s="4">
        <f>datos25!G46</f>
        <v>0.17511192728750541</v>
      </c>
    </row>
    <row r="26" spans="2:19" x14ac:dyDescent="0.3">
      <c r="B26" s="2" t="s">
        <v>5</v>
      </c>
      <c r="C26" s="4">
        <f>datos25!G10</f>
        <v>0.17824124366241628</v>
      </c>
      <c r="J26" s="2" t="s">
        <v>5</v>
      </c>
      <c r="K26" s="4">
        <f>datos25!G28</f>
        <v>0.18185466493076674</v>
      </c>
      <c r="R26" s="2" t="s">
        <v>5</v>
      </c>
      <c r="S26" s="4">
        <f>datos25!G47</f>
        <v>0.17959589660026509</v>
      </c>
    </row>
    <row r="27" spans="2:19" x14ac:dyDescent="0.3">
      <c r="B27" s="2" t="s">
        <v>6</v>
      </c>
      <c r="C27" s="4">
        <f>datos25!G11</f>
        <v>0.16643266174923055</v>
      </c>
      <c r="J27" s="2" t="s">
        <v>6</v>
      </c>
      <c r="K27" s="4">
        <f>datos25!G29</f>
        <v>0.15536613417190775</v>
      </c>
      <c r="R27" s="2" t="s">
        <v>6</v>
      </c>
      <c r="S27" s="4">
        <f>datos25!G48</f>
        <v>0.16197060163382235</v>
      </c>
    </row>
    <row r="28" spans="2:19" x14ac:dyDescent="0.3">
      <c r="B28" s="2" t="s">
        <v>16</v>
      </c>
      <c r="C28" s="4">
        <f>datos25!G12</f>
        <v>0.15704280169545826</v>
      </c>
      <c r="J28" s="2" t="s">
        <v>16</v>
      </c>
      <c r="K28" s="4">
        <f>datos25!G30</f>
        <v>0.18719299647899404</v>
      </c>
      <c r="R28" s="2" t="s">
        <v>16</v>
      </c>
      <c r="S28" s="4">
        <f>datos25!G49</f>
        <v>0.16804530453297692</v>
      </c>
    </row>
    <row r="29" spans="2:19" x14ac:dyDescent="0.3">
      <c r="B29" s="2" t="s">
        <v>20</v>
      </c>
      <c r="C29" s="4">
        <f>datos25!G13</f>
        <v>0.18784039556671361</v>
      </c>
      <c r="J29" s="2" t="s">
        <v>20</v>
      </c>
      <c r="K29" s="4">
        <f>datos25!G31</f>
        <v>0.17533992927958966</v>
      </c>
      <c r="R29" s="2" t="s">
        <v>20</v>
      </c>
      <c r="S29" s="4">
        <f>datos25!G50</f>
        <v>0.17640160877231326</v>
      </c>
    </row>
    <row r="30" spans="2:19" x14ac:dyDescent="0.3">
      <c r="B30" s="2" t="s">
        <v>21</v>
      </c>
      <c r="C30" s="4">
        <f>datos25!G14</f>
        <v>0.17885624097389069</v>
      </c>
      <c r="J30" s="2" t="s">
        <v>21</v>
      </c>
      <c r="K30" s="4">
        <f>datos25!G32</f>
        <v>0.16407674021008434</v>
      </c>
      <c r="R30" s="2" t="s">
        <v>21</v>
      </c>
      <c r="S30" s="4">
        <f>datos25!G51</f>
        <v>0.17252718810642725</v>
      </c>
    </row>
    <row r="31" spans="2:19" x14ac:dyDescent="0.3">
      <c r="B31" s="2" t="s">
        <v>22</v>
      </c>
      <c r="C31" s="4">
        <f>datos25!G15</f>
        <v>0.16511129542060646</v>
      </c>
      <c r="J31" s="2" t="s">
        <v>22</v>
      </c>
      <c r="K31" s="4">
        <f>datos25!G33</f>
        <v>0.1577858588934177</v>
      </c>
      <c r="R31" s="2" t="s">
        <v>22</v>
      </c>
      <c r="S31" s="4">
        <f>datos25!G52</f>
        <v>0.16218895983955239</v>
      </c>
    </row>
    <row r="32" spans="2:19" x14ac:dyDescent="0.3">
      <c r="B32" s="2" t="s">
        <v>23</v>
      </c>
      <c r="C32" s="4">
        <f>datos25!G16</f>
        <v>0.19037906205291999</v>
      </c>
      <c r="J32" s="2" t="s">
        <v>23</v>
      </c>
      <c r="K32" s="4">
        <f>datos25!G34</f>
        <v>0.19612002433177572</v>
      </c>
      <c r="R32" s="2" t="s">
        <v>23</v>
      </c>
      <c r="S32" s="4">
        <f>datos25!G53</f>
        <v>0.19257568799090677</v>
      </c>
    </row>
    <row r="33" spans="1:19" x14ac:dyDescent="0.3">
      <c r="A33" s="99"/>
      <c r="B33" s="100" t="s">
        <v>62</v>
      </c>
      <c r="C33" s="101">
        <f>datos25!G19</f>
        <v>0.18231924989933537</v>
      </c>
      <c r="I33" s="99"/>
      <c r="J33" s="100" t="s">
        <v>62</v>
      </c>
      <c r="K33" s="101">
        <f>datos25!G37</f>
        <v>0.19465288250339402</v>
      </c>
      <c r="R33" s="100" t="s">
        <v>62</v>
      </c>
      <c r="S33" s="101">
        <f>datos25!G56</f>
        <v>0.18298167824586045</v>
      </c>
    </row>
    <row r="34" spans="1:19" x14ac:dyDescent="0.3">
      <c r="B34" s="5"/>
      <c r="C34" s="6"/>
      <c r="J34" s="5"/>
      <c r="K34" s="6"/>
      <c r="R34" s="5"/>
      <c r="S34" s="6"/>
    </row>
    <row r="35" spans="1:19" ht="18" x14ac:dyDescent="0.35">
      <c r="B35" s="65" t="s">
        <v>18</v>
      </c>
      <c r="C35" s="39"/>
      <c r="J35" s="65" t="s">
        <v>18</v>
      </c>
      <c r="K35" s="39"/>
      <c r="R35" s="65" t="s">
        <v>18</v>
      </c>
      <c r="S35" s="39"/>
    </row>
    <row r="36" spans="1:19" x14ac:dyDescent="0.3">
      <c r="B36" s="39"/>
      <c r="C36" s="40" t="s">
        <v>12</v>
      </c>
      <c r="J36" s="39"/>
      <c r="K36" s="40" t="s">
        <v>12</v>
      </c>
      <c r="R36" s="39"/>
      <c r="S36" s="40" t="s">
        <v>12</v>
      </c>
    </row>
    <row r="37" spans="1:19" x14ac:dyDescent="0.3">
      <c r="B37" s="2" t="s">
        <v>0</v>
      </c>
      <c r="C37" s="4">
        <f>datos25!I5</f>
        <v>7.8664716692955008E-2</v>
      </c>
      <c r="J37" s="2" t="s">
        <v>0</v>
      </c>
      <c r="K37" s="4">
        <f>datos25!I23</f>
        <v>0.10617242579333636</v>
      </c>
      <c r="R37" s="2" t="s">
        <v>0</v>
      </c>
      <c r="S37" s="4">
        <f>datos25!I42</f>
        <v>8.9828333562978341E-2</v>
      </c>
    </row>
    <row r="38" spans="1:19" x14ac:dyDescent="0.3">
      <c r="B38" s="2" t="s">
        <v>1</v>
      </c>
      <c r="C38" s="4">
        <f>datos25!I6</f>
        <v>7.7632636631371293E-2</v>
      </c>
      <c r="J38" s="2" t="s">
        <v>1</v>
      </c>
      <c r="K38" s="4">
        <f>datos25!I24</f>
        <v>0.26025528316053964</v>
      </c>
      <c r="R38" s="2" t="s">
        <v>1</v>
      </c>
      <c r="S38" s="4">
        <f>datos25!I43</f>
        <v>0.12090247159226138</v>
      </c>
    </row>
    <row r="39" spans="1:19" x14ac:dyDescent="0.3">
      <c r="B39" s="2" t="s">
        <v>2</v>
      </c>
      <c r="C39" s="4">
        <f>datos25!I7</f>
        <v>7.8092985653231042E-2</v>
      </c>
      <c r="J39" s="2" t="s">
        <v>2</v>
      </c>
      <c r="K39" s="4">
        <f>datos25!I25</f>
        <v>0.20851244352645601</v>
      </c>
      <c r="R39" s="2" t="s">
        <v>2</v>
      </c>
      <c r="S39" s="4">
        <f>datos25!I44</f>
        <v>0.11205100989500631</v>
      </c>
    </row>
    <row r="40" spans="1:19" x14ac:dyDescent="0.3">
      <c r="B40" s="2" t="s">
        <v>3</v>
      </c>
      <c r="C40" s="4">
        <f>datos25!I8</f>
        <v>2.6172681867048467E-2</v>
      </c>
      <c r="J40" s="2" t="s">
        <v>3</v>
      </c>
      <c r="K40" s="4">
        <f>datos25!I26</f>
        <v>9.2147033429192796E-2</v>
      </c>
      <c r="R40" s="2" t="s">
        <v>3</v>
      </c>
      <c r="S40" s="4">
        <f>datos25!I45</f>
        <v>3.6654803371845082E-2</v>
      </c>
    </row>
    <row r="41" spans="1:19" x14ac:dyDescent="0.3">
      <c r="B41" s="2" t="s">
        <v>4</v>
      </c>
      <c r="C41" s="4">
        <f>datos25!I9</f>
        <v>1.6337021409997491E-2</v>
      </c>
      <c r="J41" s="2" t="s">
        <v>4</v>
      </c>
      <c r="K41" s="4">
        <f>datos25!I27</f>
        <v>6.279319211044157E-2</v>
      </c>
      <c r="R41" s="2" t="s">
        <v>4</v>
      </c>
      <c r="S41" s="4">
        <f>datos25!I46</f>
        <v>2.25034173909219E-2</v>
      </c>
    </row>
    <row r="42" spans="1:19" x14ac:dyDescent="0.3">
      <c r="B42" s="2" t="s">
        <v>5</v>
      </c>
      <c r="C42" s="4">
        <f>datos25!I10</f>
        <v>1.8753829658309087E-2</v>
      </c>
      <c r="J42" s="2" t="s">
        <v>5</v>
      </c>
      <c r="K42" s="4">
        <f>datos25!I28</f>
        <v>7.5831357419393453E-2</v>
      </c>
      <c r="R42" s="2" t="s">
        <v>5</v>
      </c>
      <c r="S42" s="4">
        <f>datos25!I47</f>
        <v>2.6255889953813581E-2</v>
      </c>
    </row>
    <row r="43" spans="1:19" x14ac:dyDescent="0.3">
      <c r="B43" s="2" t="s">
        <v>6</v>
      </c>
      <c r="C43" s="4">
        <f>datos25!I11</f>
        <v>1.6694186822261491E-2</v>
      </c>
      <c r="J43" s="2" t="s">
        <v>6</v>
      </c>
      <c r="K43" s="4">
        <f>datos25!I29</f>
        <v>7.5817328981923698E-2</v>
      </c>
      <c r="R43" s="2" t="s">
        <v>6</v>
      </c>
      <c r="S43" s="4">
        <f>datos25!I48</f>
        <v>2.390351999973853E-2</v>
      </c>
    </row>
    <row r="44" spans="1:19" x14ac:dyDescent="0.3">
      <c r="B44" s="2" t="s">
        <v>16</v>
      </c>
      <c r="C44" s="4">
        <f>datos25!I12</f>
        <v>1.4470180490564798E-2</v>
      </c>
      <c r="J44" s="2" t="s">
        <v>16</v>
      </c>
      <c r="K44" s="4">
        <f>datos25!I30</f>
        <v>5.7074308610161897E-2</v>
      </c>
      <c r="R44" s="2" t="s">
        <v>16</v>
      </c>
      <c r="S44" s="4">
        <f>datos25!I49</f>
        <v>2.077383249039437E-2</v>
      </c>
    </row>
    <row r="45" spans="1:19" x14ac:dyDescent="0.3">
      <c r="B45" s="2" t="s">
        <v>20</v>
      </c>
      <c r="C45" s="4">
        <f>datos25!I13</f>
        <v>1.9110283816613557E-2</v>
      </c>
      <c r="J45" s="2" t="s">
        <v>20</v>
      </c>
      <c r="K45" s="4">
        <f>datos25!I31</f>
        <v>8.4039988471957164E-2</v>
      </c>
      <c r="R45" s="2" t="s">
        <v>20</v>
      </c>
      <c r="S45" s="4">
        <f>datos25!I50</f>
        <v>2.654128442857414E-2</v>
      </c>
    </row>
    <row r="46" spans="1:19" x14ac:dyDescent="0.3">
      <c r="B46" s="2" t="s">
        <v>21</v>
      </c>
      <c r="C46" s="4">
        <f>datos25!I14</f>
        <v>1.8178271406164535E-2</v>
      </c>
      <c r="J46" s="2" t="s">
        <v>21</v>
      </c>
      <c r="K46" s="4">
        <f>datos25!I32</f>
        <v>6.5166711382850365E-2</v>
      </c>
      <c r="R46" s="2" t="s">
        <v>21</v>
      </c>
      <c r="S46" s="4">
        <f>datos25!I51</f>
        <v>2.5735591321762012E-2</v>
      </c>
    </row>
    <row r="47" spans="1:19" x14ac:dyDescent="0.3">
      <c r="B47" s="2" t="s">
        <v>22</v>
      </c>
      <c r="C47" s="4">
        <f>datos25!I15</f>
        <v>2.8316889573949195E-2</v>
      </c>
      <c r="J47" s="2" t="s">
        <v>22</v>
      </c>
      <c r="K47" s="4">
        <f>datos25!I33</f>
        <v>7.9267420151653029E-2</v>
      </c>
      <c r="R47" s="2" t="s">
        <v>22</v>
      </c>
      <c r="S47" s="4">
        <f>datos25!I52</f>
        <v>3.7728585171737723E-2</v>
      </c>
    </row>
    <row r="48" spans="1:19" x14ac:dyDescent="0.3">
      <c r="B48" s="2" t="s">
        <v>23</v>
      </c>
      <c r="C48" s="4">
        <f>datos25!I16</f>
        <v>3.5299668559669747E-2</v>
      </c>
      <c r="J48" s="2" t="s">
        <v>23</v>
      </c>
      <c r="K48" s="4">
        <f>datos25!I34</f>
        <v>7.6763400202547183E-2</v>
      </c>
      <c r="R48" s="2" t="s">
        <v>23</v>
      </c>
      <c r="S48" s="4">
        <f>datos25!I53</f>
        <v>4.4710159896370623E-2</v>
      </c>
    </row>
    <row r="49" spans="1:19" x14ac:dyDescent="0.3">
      <c r="A49" s="99"/>
      <c r="B49" s="100" t="s">
        <v>62</v>
      </c>
      <c r="C49" s="101">
        <f>datos25!I19</f>
        <v>2.3351890954673906E-2</v>
      </c>
      <c r="I49" s="99"/>
      <c r="J49" s="100" t="s">
        <v>62</v>
      </c>
      <c r="K49" s="101">
        <f>datos25!G56</f>
        <v>0.18298167824586045</v>
      </c>
      <c r="R49" s="100" t="s">
        <v>62</v>
      </c>
      <c r="S49" s="101">
        <f>datos25!I56</f>
        <v>3.337850524082555E-2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EFFF-007C-4131-9CEF-398C519E4303}">
  <dimension ref="B2:Q58"/>
  <sheetViews>
    <sheetView topLeftCell="A33" workbookViewId="0">
      <selection activeCell="I10" sqref="I10"/>
    </sheetView>
  </sheetViews>
  <sheetFormatPr baseColWidth="10" defaultRowHeight="14.4" x14ac:dyDescent="0.3"/>
  <sheetData>
    <row r="2" spans="2:11" x14ac:dyDescent="0.3">
      <c r="B2" s="57" t="s">
        <v>71</v>
      </c>
      <c r="C2" s="58"/>
    </row>
    <row r="3" spans="2:11" x14ac:dyDescent="0.3">
      <c r="B3" s="1" t="s">
        <v>27</v>
      </c>
      <c r="C3" s="2">
        <v>4156946</v>
      </c>
      <c r="D3" t="s">
        <v>73</v>
      </c>
      <c r="G3" t="s">
        <v>60</v>
      </c>
    </row>
    <row r="4" spans="2:11" x14ac:dyDescent="0.3">
      <c r="B4" s="119"/>
      <c r="C4" s="120" t="s">
        <v>7</v>
      </c>
      <c r="D4" s="120" t="s">
        <v>8</v>
      </c>
      <c r="E4" s="120" t="s">
        <v>10</v>
      </c>
      <c r="F4" s="120" t="s">
        <v>9</v>
      </c>
      <c r="G4" s="120" t="s">
        <v>13</v>
      </c>
      <c r="H4" s="120" t="s">
        <v>11</v>
      </c>
      <c r="I4" s="120" t="s">
        <v>12</v>
      </c>
      <c r="J4" s="120" t="s">
        <v>26</v>
      </c>
      <c r="K4" s="121" t="s">
        <v>64</v>
      </c>
    </row>
    <row r="5" spans="2:11" x14ac:dyDescent="0.3">
      <c r="B5" s="49" t="s">
        <v>0</v>
      </c>
      <c r="C5" s="11">
        <v>158465</v>
      </c>
      <c r="D5" s="11">
        <v>51279291</v>
      </c>
      <c r="E5" s="12">
        <v>1470</v>
      </c>
      <c r="F5" s="11">
        <f t="shared" ref="F5:F6" si="0">D5/E5</f>
        <v>34883.87142857143</v>
      </c>
      <c r="G5" s="14">
        <f t="shared" ref="G5:G6" si="1">F5/C5</f>
        <v>0.22013612740082308</v>
      </c>
      <c r="H5" s="11">
        <v>931160</v>
      </c>
      <c r="I5" s="15">
        <f t="shared" ref="I5:I6" si="2">F5/H5</f>
        <v>3.7462811362785592E-2</v>
      </c>
      <c r="J5" s="22">
        <f t="shared" ref="J5:J6" si="3">C5/H5</f>
        <v>0.17018020533528072</v>
      </c>
      <c r="K5" s="9">
        <v>630</v>
      </c>
    </row>
    <row r="6" spans="2:11" x14ac:dyDescent="0.3">
      <c r="B6" s="49" t="s">
        <v>1</v>
      </c>
      <c r="C6" s="11">
        <f>89785+42270+130490+3600+1832+9823</f>
        <v>277800</v>
      </c>
      <c r="D6" s="11">
        <v>67710401</v>
      </c>
      <c r="E6" s="12">
        <v>1425</v>
      </c>
      <c r="F6" s="11">
        <f t="shared" si="0"/>
        <v>47516.070877192986</v>
      </c>
      <c r="G6" s="14">
        <f t="shared" si="1"/>
        <v>0.17104417162416483</v>
      </c>
      <c r="H6" s="11">
        <v>947482</v>
      </c>
      <c r="I6" s="15">
        <f t="shared" si="2"/>
        <v>5.0149840183974982E-2</v>
      </c>
      <c r="J6" s="22">
        <f t="shared" si="3"/>
        <v>0.29319818212905363</v>
      </c>
      <c r="K6" s="9">
        <v>704</v>
      </c>
    </row>
    <row r="7" spans="2:11" x14ac:dyDescent="0.3">
      <c r="B7" s="49" t="s">
        <v>2</v>
      </c>
      <c r="C7" s="11">
        <f>96570+44435+125475+3897+2344+11882</f>
        <v>284603</v>
      </c>
      <c r="D7" s="11">
        <v>69098637</v>
      </c>
      <c r="E7" s="12">
        <v>1415</v>
      </c>
      <c r="F7" s="11">
        <f t="shared" ref="F7" si="4">D7/E7</f>
        <v>48832.959010600709</v>
      </c>
      <c r="G7" s="14">
        <f t="shared" ref="G7" si="5">F7/C7</f>
        <v>0.17158272755593126</v>
      </c>
      <c r="H7" s="11">
        <v>1232374</v>
      </c>
      <c r="I7" s="15">
        <f t="shared" ref="I7" si="6">F7/H7</f>
        <v>3.9625113001897729E-2</v>
      </c>
      <c r="J7" s="22">
        <f t="shared" ref="J7" si="7">C7/H7</f>
        <v>0.23093882214327793</v>
      </c>
      <c r="K7" s="9">
        <v>701</v>
      </c>
    </row>
    <row r="8" spans="2:11" x14ac:dyDescent="0.3">
      <c r="B8" s="49" t="s">
        <v>3</v>
      </c>
      <c r="C8" s="11">
        <v>230730</v>
      </c>
      <c r="D8" s="11">
        <v>61083668.619999997</v>
      </c>
      <c r="E8" s="12">
        <v>1415</v>
      </c>
      <c r="F8" s="11">
        <f t="shared" ref="F8" si="8">D8/E8</f>
        <v>43168.67040282685</v>
      </c>
      <c r="G8" s="14">
        <f t="shared" ref="G8" si="9">F8/C8</f>
        <v>0.18709604473985547</v>
      </c>
      <c r="H8" s="11">
        <v>884860</v>
      </c>
      <c r="I8" s="15">
        <f t="shared" ref="I8" si="10">F8/H8</f>
        <v>4.8785876186997777E-2</v>
      </c>
      <c r="J8" s="22">
        <f t="shared" ref="J8" si="11">C8/H8</f>
        <v>0.2607531134868793</v>
      </c>
      <c r="K8" s="9">
        <v>662</v>
      </c>
    </row>
    <row r="9" spans="2:11" x14ac:dyDescent="0.3">
      <c r="B9" s="49" t="s">
        <v>4</v>
      </c>
      <c r="C9" s="11"/>
      <c r="D9" s="111"/>
      <c r="E9" s="12"/>
      <c r="F9" s="105"/>
      <c r="G9" s="104"/>
      <c r="H9" s="11"/>
      <c r="I9" s="15"/>
      <c r="J9" s="22"/>
      <c r="K9" s="12"/>
    </row>
    <row r="10" spans="2:11" x14ac:dyDescent="0.3">
      <c r="B10" s="49" t="s">
        <v>5</v>
      </c>
      <c r="C10" s="11"/>
      <c r="D10" s="111"/>
      <c r="E10" s="12"/>
      <c r="F10" s="105"/>
      <c r="G10" s="104"/>
      <c r="H10" s="11"/>
      <c r="I10" s="15"/>
      <c r="J10" s="22"/>
      <c r="K10" s="12"/>
    </row>
    <row r="11" spans="2:11" x14ac:dyDescent="0.3">
      <c r="B11" s="49" t="s">
        <v>6</v>
      </c>
      <c r="C11" s="11"/>
      <c r="D11" s="111"/>
      <c r="E11" s="12"/>
      <c r="F11" s="105"/>
      <c r="G11" s="104"/>
      <c r="H11" s="11"/>
      <c r="I11" s="15"/>
      <c r="J11" s="22"/>
      <c r="K11" s="12"/>
    </row>
    <row r="12" spans="2:11" x14ac:dyDescent="0.3">
      <c r="B12" s="49" t="s">
        <v>16</v>
      </c>
      <c r="C12" s="11"/>
      <c r="D12" s="111"/>
      <c r="E12" s="12"/>
      <c r="F12" s="105"/>
      <c r="G12" s="104"/>
      <c r="H12" s="11"/>
      <c r="I12" s="15"/>
      <c r="J12" s="22"/>
      <c r="K12" s="12"/>
    </row>
    <row r="13" spans="2:11" x14ac:dyDescent="0.3">
      <c r="B13" s="49" t="s">
        <v>20</v>
      </c>
      <c r="C13" s="11"/>
      <c r="D13" s="11"/>
      <c r="E13" s="12"/>
      <c r="F13" s="11"/>
      <c r="G13" s="14"/>
      <c r="H13" s="11"/>
      <c r="I13" s="15"/>
      <c r="J13" s="22"/>
      <c r="K13" s="12"/>
    </row>
    <row r="14" spans="2:11" x14ac:dyDescent="0.3">
      <c r="B14" s="49" t="s">
        <v>21</v>
      </c>
      <c r="C14" s="11"/>
      <c r="D14" s="11"/>
      <c r="E14" s="12"/>
      <c r="F14" s="11"/>
      <c r="G14" s="14"/>
      <c r="H14" s="11"/>
      <c r="I14" s="15"/>
      <c r="J14" s="22"/>
      <c r="K14" s="12"/>
    </row>
    <row r="15" spans="2:11" x14ac:dyDescent="0.3">
      <c r="B15" s="49" t="s">
        <v>22</v>
      </c>
      <c r="C15" s="11"/>
      <c r="D15" s="11"/>
      <c r="E15" s="12"/>
      <c r="F15" s="11"/>
      <c r="G15" s="14"/>
      <c r="H15" s="11"/>
      <c r="I15" s="15"/>
      <c r="J15" s="22"/>
      <c r="K15" s="12"/>
    </row>
    <row r="16" spans="2:11" x14ac:dyDescent="0.3">
      <c r="B16" s="49" t="s">
        <v>23</v>
      </c>
      <c r="C16" s="11"/>
      <c r="D16" s="11"/>
      <c r="E16" s="12"/>
      <c r="F16" s="11"/>
      <c r="G16" s="14"/>
      <c r="H16" s="11"/>
      <c r="I16" s="15"/>
      <c r="J16" s="22"/>
      <c r="K16" s="12"/>
    </row>
    <row r="18" spans="2:11" x14ac:dyDescent="0.3">
      <c r="B18" s="17" t="s">
        <v>24</v>
      </c>
      <c r="C18" s="55">
        <f>SUM(C5:C16)</f>
        <v>951598</v>
      </c>
      <c r="D18" s="18"/>
      <c r="E18" s="18"/>
      <c r="F18" s="55">
        <f>SUM(F5:F16)</f>
        <v>174401.57171919197</v>
      </c>
      <c r="G18" s="18"/>
      <c r="H18" s="55">
        <f>SUM(H5:H16)</f>
        <v>3995876</v>
      </c>
    </row>
    <row r="19" spans="2:11" x14ac:dyDescent="0.3">
      <c r="B19" s="28" t="s">
        <v>14</v>
      </c>
      <c r="C19" s="89"/>
      <c r="D19" s="89"/>
      <c r="E19" s="89"/>
      <c r="F19" s="89"/>
      <c r="G19" s="90">
        <f>(G5*F5+G6*F6+G7*F7+G8*F8+G9*F9+G10*F10+G11*F11+G12*F12+G13*F13+G14*F14+G15*F15+G16*F16)/F18</f>
        <v>0.1849875939748854</v>
      </c>
      <c r="H19" s="91"/>
      <c r="I19" s="90">
        <f>(I5*H5+I6*H6+I7*H7+I8*H8+I9*H9+I10*H10+I11*H11+I12*H12+I13*H13+I14*H14+H15*I15+H16*I16)/H18</f>
        <v>4.3645391328257427E-2</v>
      </c>
      <c r="J19" s="90">
        <f>(J5*H5+J6*H6+J7*H7+J8*H8+J9*H9+J10*H10+J11*J11+J12*H12+J13*H13+J14*H14+J15*H15+J16*H16)/H18</f>
        <v>0.2381450275233766</v>
      </c>
    </row>
    <row r="21" spans="2:11" x14ac:dyDescent="0.3">
      <c r="B21" s="92" t="s">
        <v>27</v>
      </c>
      <c r="C21" s="110">
        <v>107552</v>
      </c>
      <c r="D21" t="s">
        <v>72</v>
      </c>
    </row>
    <row r="22" spans="2:11" x14ac:dyDescent="0.3">
      <c r="B22" s="119"/>
      <c r="C22" s="120" t="s">
        <v>7</v>
      </c>
      <c r="D22" s="120" t="s">
        <v>8</v>
      </c>
      <c r="E22" s="120" t="s">
        <v>10</v>
      </c>
      <c r="F22" s="120" t="s">
        <v>9</v>
      </c>
      <c r="G22" s="120" t="s">
        <v>13</v>
      </c>
      <c r="H22" s="120" t="s">
        <v>28</v>
      </c>
      <c r="I22" s="120" t="s">
        <v>30</v>
      </c>
      <c r="J22" s="120" t="s">
        <v>29</v>
      </c>
      <c r="K22" s="122" t="s">
        <v>65</v>
      </c>
    </row>
    <row r="23" spans="2:11" x14ac:dyDescent="0.3">
      <c r="B23" s="49" t="s">
        <v>0</v>
      </c>
      <c r="C23" s="11">
        <v>98460</v>
      </c>
      <c r="D23" s="11">
        <v>35127584</v>
      </c>
      <c r="E23" s="12">
        <v>1470</v>
      </c>
      <c r="F23" s="11">
        <f t="shared" ref="F23:F24" si="12">D23/E23</f>
        <v>23896.315646258503</v>
      </c>
      <c r="G23" s="106">
        <f t="shared" ref="G23:G24" si="13">F23/C23</f>
        <v>0.24270074798150013</v>
      </c>
      <c r="H23" s="11">
        <v>262742</v>
      </c>
      <c r="I23" s="15">
        <f t="shared" ref="I23:I24" si="14">F23/H23</f>
        <v>9.0949736419219246E-2</v>
      </c>
      <c r="J23" s="22">
        <f t="shared" ref="J23:J24" si="15">C23/H23</f>
        <v>0.37474023947446544</v>
      </c>
      <c r="K23" s="9">
        <v>302</v>
      </c>
    </row>
    <row r="24" spans="2:11" x14ac:dyDescent="0.3">
      <c r="B24" s="49" t="s">
        <v>1</v>
      </c>
      <c r="C24" s="11">
        <v>160488</v>
      </c>
      <c r="D24" s="11">
        <v>41369654</v>
      </c>
      <c r="E24" s="12">
        <v>1425</v>
      </c>
      <c r="F24" s="11">
        <f t="shared" si="12"/>
        <v>29031.336140350879</v>
      </c>
      <c r="G24" s="106">
        <f t="shared" si="13"/>
        <v>0.18089412379960421</v>
      </c>
      <c r="H24" s="11">
        <v>383846</v>
      </c>
      <c r="I24" s="15">
        <f t="shared" si="14"/>
        <v>7.5632769757535259E-2</v>
      </c>
      <c r="J24" s="22">
        <f t="shared" si="15"/>
        <v>0.41810517759726556</v>
      </c>
      <c r="K24" s="9">
        <v>313</v>
      </c>
    </row>
    <row r="25" spans="2:11" x14ac:dyDescent="0.3">
      <c r="B25" s="49" t="s">
        <v>2</v>
      </c>
      <c r="C25" s="11">
        <v>160344</v>
      </c>
      <c r="D25" s="11">
        <v>41812138</v>
      </c>
      <c r="E25" s="12">
        <v>1415</v>
      </c>
      <c r="F25" s="11">
        <f t="shared" ref="F25" si="16">D25/E25</f>
        <v>29549.214134275619</v>
      </c>
      <c r="G25" s="106">
        <f t="shared" ref="G25" si="17">F25/C25</f>
        <v>0.18428637263805081</v>
      </c>
      <c r="H25" s="11">
        <v>556665</v>
      </c>
      <c r="I25" s="15">
        <f t="shared" ref="I25" si="18">F25/H25</f>
        <v>5.3082579530373958E-2</v>
      </c>
      <c r="J25" s="22">
        <f t="shared" ref="J25" si="19">C25/H25</f>
        <v>0.28804397617956939</v>
      </c>
      <c r="K25" s="9">
        <v>309</v>
      </c>
    </row>
    <row r="26" spans="2:11" x14ac:dyDescent="0.3">
      <c r="B26" s="49" t="s">
        <v>3</v>
      </c>
      <c r="C26" s="11">
        <v>131652</v>
      </c>
      <c r="D26" s="11">
        <v>41486464.420000002</v>
      </c>
      <c r="E26" s="12">
        <v>1415</v>
      </c>
      <c r="F26" s="11">
        <f t="shared" ref="F26" si="20">D26/E26</f>
        <v>29319.056127208481</v>
      </c>
      <c r="G26" s="106">
        <f t="shared" ref="G26" si="21">F26/C26</f>
        <v>0.222701182870055</v>
      </c>
      <c r="H26" s="11">
        <v>561959</v>
      </c>
      <c r="I26" s="15">
        <f t="shared" ref="I26" si="22">F26/H26</f>
        <v>5.2172945227691843E-2</v>
      </c>
      <c r="J26" s="22">
        <f t="shared" ref="J26" si="23">C26/H26</f>
        <v>0.23427331887201736</v>
      </c>
      <c r="K26" s="9">
        <v>302</v>
      </c>
    </row>
    <row r="27" spans="2:11" x14ac:dyDescent="0.3">
      <c r="B27" s="49" t="s">
        <v>4</v>
      </c>
      <c r="C27" s="11"/>
      <c r="D27" s="11"/>
      <c r="E27" s="12"/>
      <c r="F27" s="11"/>
      <c r="G27" s="106"/>
      <c r="H27" s="11"/>
      <c r="I27" s="15"/>
      <c r="J27" s="22"/>
      <c r="K27" s="12"/>
    </row>
    <row r="28" spans="2:11" x14ac:dyDescent="0.3">
      <c r="B28" s="49" t="s">
        <v>5</v>
      </c>
      <c r="C28" s="11"/>
      <c r="D28" s="11"/>
      <c r="E28" s="12"/>
      <c r="F28" s="11"/>
      <c r="G28" s="106"/>
      <c r="H28" s="11"/>
      <c r="I28" s="15"/>
      <c r="J28" s="22"/>
      <c r="K28" s="12"/>
    </row>
    <row r="29" spans="2:11" x14ac:dyDescent="0.3">
      <c r="B29" s="49" t="s">
        <v>6</v>
      </c>
      <c r="C29" s="11"/>
      <c r="D29" s="11"/>
      <c r="E29" s="12"/>
      <c r="F29" s="11"/>
      <c r="G29" s="106"/>
      <c r="H29" s="11"/>
      <c r="I29" s="15"/>
      <c r="J29" s="22"/>
      <c r="K29" s="12"/>
    </row>
    <row r="30" spans="2:11" x14ac:dyDescent="0.3">
      <c r="B30" s="49" t="s">
        <v>16</v>
      </c>
      <c r="C30" s="11"/>
      <c r="D30" s="11"/>
      <c r="E30" s="12"/>
      <c r="F30" s="11"/>
      <c r="G30" s="106"/>
      <c r="H30" s="11"/>
      <c r="I30" s="15"/>
      <c r="J30" s="22"/>
      <c r="K30" s="12"/>
    </row>
    <row r="31" spans="2:11" x14ac:dyDescent="0.3">
      <c r="B31" s="49" t="s">
        <v>20</v>
      </c>
      <c r="C31" s="11"/>
      <c r="D31" s="11"/>
      <c r="E31" s="12"/>
      <c r="F31" s="11"/>
      <c r="G31" s="106"/>
      <c r="H31" s="11"/>
      <c r="I31" s="15"/>
      <c r="J31" s="22"/>
      <c r="K31" s="12"/>
    </row>
    <row r="32" spans="2:11" x14ac:dyDescent="0.3">
      <c r="B32" s="49" t="s">
        <v>21</v>
      </c>
      <c r="C32" s="11"/>
      <c r="D32" s="11"/>
      <c r="E32" s="12"/>
      <c r="F32" s="11"/>
      <c r="G32" s="106"/>
      <c r="H32" s="11"/>
      <c r="I32" s="15"/>
      <c r="J32" s="22"/>
      <c r="K32" s="12"/>
    </row>
    <row r="33" spans="2:17" x14ac:dyDescent="0.3">
      <c r="B33" s="49" t="s">
        <v>22</v>
      </c>
      <c r="C33" s="11"/>
      <c r="D33" s="11"/>
      <c r="E33" s="12"/>
      <c r="F33" s="11"/>
      <c r="G33" s="106"/>
      <c r="H33" s="11"/>
      <c r="I33" s="15"/>
      <c r="J33" s="22"/>
      <c r="K33" s="12"/>
    </row>
    <row r="34" spans="2:17" x14ac:dyDescent="0.3">
      <c r="B34" s="49" t="s">
        <v>23</v>
      </c>
      <c r="C34" s="11"/>
      <c r="D34" s="11"/>
      <c r="E34" s="12"/>
      <c r="F34" s="11"/>
      <c r="G34" s="106"/>
      <c r="H34" s="11"/>
      <c r="I34" s="15"/>
      <c r="J34" s="22"/>
      <c r="K34" s="12"/>
    </row>
    <row r="36" spans="2:17" x14ac:dyDescent="0.3">
      <c r="B36" s="17" t="s">
        <v>24</v>
      </c>
      <c r="C36" s="18">
        <f>SUM(C23:C34)</f>
        <v>550944</v>
      </c>
      <c r="D36" s="18"/>
      <c r="E36" s="18"/>
      <c r="F36" s="18">
        <f>SUM(F23:F34)</f>
        <v>111795.92204809349</v>
      </c>
      <c r="G36" s="18"/>
      <c r="H36" s="18">
        <f>SUM(H23:H34)</f>
        <v>1765212</v>
      </c>
    </row>
    <row r="37" spans="2:17" x14ac:dyDescent="0.3">
      <c r="B37" s="28" t="s">
        <v>74</v>
      </c>
      <c r="C37" s="21"/>
      <c r="D37" s="21"/>
      <c r="E37" s="21"/>
      <c r="F37" s="21"/>
      <c r="G37" s="34">
        <f>(G23*F23+G24*F24+G25*F25+G26*F26+G27*F27+G28*F28+G29*F29+G30*F30+G31*F31+G32*F32+G33*F33+G34*F34)/F36</f>
        <v>0.20596598999878934</v>
      </c>
      <c r="H37" s="2"/>
      <c r="I37" s="33">
        <f>(I23*H23+I24*H24+I25*H25+I26*H26+I27*H27+I28*H28+I29*H29+I30*H30+I31*H31+I32*H32+I33*H33+I34*H34)/H36</f>
        <v>6.3332858630064548E-2</v>
      </c>
      <c r="J37" s="34">
        <f>(J23*H23+J24*H24+J25*H25+J26*H26+J27*H27+J28*H28+J29*J29+J30*H30+J31*H31+J32*H32+J33*H33+J34*H34)/H36</f>
        <v>0.31211208625366244</v>
      </c>
    </row>
    <row r="38" spans="2:17" x14ac:dyDescent="0.3">
      <c r="B38" s="24"/>
      <c r="C38" s="24"/>
      <c r="D38" s="24"/>
      <c r="E38" s="24"/>
      <c r="F38" s="24"/>
      <c r="G38" s="23"/>
    </row>
    <row r="39" spans="2:17" x14ac:dyDescent="0.3">
      <c r="B39" s="62" t="s">
        <v>51</v>
      </c>
      <c r="C39" s="58"/>
    </row>
    <row r="40" spans="2:17" x14ac:dyDescent="0.3">
      <c r="B40" s="24" t="s">
        <v>41</v>
      </c>
      <c r="C40" s="63"/>
    </row>
    <row r="41" spans="2:17" x14ac:dyDescent="0.3">
      <c r="B41" s="119"/>
      <c r="C41" s="120" t="s">
        <v>7</v>
      </c>
      <c r="D41" s="120" t="s">
        <v>8</v>
      </c>
      <c r="E41" s="120" t="s">
        <v>10</v>
      </c>
      <c r="F41" s="120" t="s">
        <v>9</v>
      </c>
      <c r="G41" s="120" t="s">
        <v>13</v>
      </c>
      <c r="H41" s="133" t="s">
        <v>40</v>
      </c>
      <c r="I41" s="133" t="s">
        <v>39</v>
      </c>
      <c r="J41" s="120" t="s">
        <v>26</v>
      </c>
      <c r="L41" s="119"/>
      <c r="M41" s="133" t="s">
        <v>7</v>
      </c>
      <c r="N41" s="133" t="s">
        <v>9</v>
      </c>
      <c r="O41" s="133" t="s">
        <v>13</v>
      </c>
      <c r="P41" s="133" t="s">
        <v>40</v>
      </c>
      <c r="Q41" s="133" t="s">
        <v>39</v>
      </c>
    </row>
    <row r="42" spans="2:17" x14ac:dyDescent="0.3">
      <c r="B42" s="49" t="s">
        <v>0</v>
      </c>
      <c r="C42" s="11">
        <f>C5+C23</f>
        <v>256925</v>
      </c>
      <c r="D42" s="112">
        <f>D5+D23</f>
        <v>86406875</v>
      </c>
      <c r="E42" s="105">
        <f>E5</f>
        <v>1470</v>
      </c>
      <c r="F42" s="105">
        <f t="shared" ref="F42:F43" si="24">D42/E42</f>
        <v>58780.187074829933</v>
      </c>
      <c r="G42" s="104">
        <f t="shared" ref="G42:G43" si="25">F42/C42</f>
        <v>0.22878344682234089</v>
      </c>
      <c r="H42" s="11">
        <f t="shared" ref="H42:H53" si="26">H5+H23</f>
        <v>1193902</v>
      </c>
      <c r="I42" s="103">
        <f t="shared" ref="I42:I43" si="27">F42/H42</f>
        <v>4.9233678371281675E-2</v>
      </c>
      <c r="J42" s="22">
        <f t="shared" ref="J42:J43" si="28">C42/H42</f>
        <v>0.21519772979691801</v>
      </c>
      <c r="L42" s="135">
        <v>46023</v>
      </c>
      <c r="M42" s="11">
        <f>C42</f>
        <v>256925</v>
      </c>
      <c r="N42" s="105">
        <f>F42</f>
        <v>58780.187074829933</v>
      </c>
      <c r="O42" s="104">
        <f t="shared" ref="O42:O45" si="29">N42/M42</f>
        <v>0.22878344682234089</v>
      </c>
      <c r="P42" s="11">
        <f>H42</f>
        <v>1193902</v>
      </c>
      <c r="Q42" s="103">
        <f t="shared" ref="Q42:Q45" si="30">N42/P42</f>
        <v>4.9233678371281675E-2</v>
      </c>
    </row>
    <row r="43" spans="2:17" x14ac:dyDescent="0.3">
      <c r="B43" s="49" t="s">
        <v>1</v>
      </c>
      <c r="C43" s="11">
        <f>C6+C24</f>
        <v>438288</v>
      </c>
      <c r="D43" s="112">
        <f t="shared" ref="D43:D53" si="31">D6+D24</f>
        <v>109080055</v>
      </c>
      <c r="E43" s="105">
        <v>1425</v>
      </c>
      <c r="F43" s="105">
        <f t="shared" si="24"/>
        <v>76547.407017543854</v>
      </c>
      <c r="G43" s="104">
        <f t="shared" si="25"/>
        <v>0.17465093047846131</v>
      </c>
      <c r="H43" s="11">
        <f t="shared" si="26"/>
        <v>1331328</v>
      </c>
      <c r="I43" s="103">
        <f t="shared" si="27"/>
        <v>5.7497030797477297E-2</v>
      </c>
      <c r="J43" s="22">
        <f t="shared" si="28"/>
        <v>0.32921113354485143</v>
      </c>
      <c r="L43" s="134" t="str">
        <f>B43</f>
        <v>febrero</v>
      </c>
      <c r="M43" s="11">
        <f t="shared" ref="M43:M44" si="32">C43</f>
        <v>438288</v>
      </c>
      <c r="N43" s="105">
        <f t="shared" ref="N43:N44" si="33">F43</f>
        <v>76547.407017543854</v>
      </c>
      <c r="O43" s="104">
        <f t="shared" ref="O43:O44" si="34">N43/M43</f>
        <v>0.17465093047846131</v>
      </c>
      <c r="P43" s="11">
        <f t="shared" ref="P43:P44" si="35">H43</f>
        <v>1331328</v>
      </c>
      <c r="Q43" s="103">
        <f t="shared" ref="Q43:Q44" si="36">N43/P43</f>
        <v>5.7497030797477297E-2</v>
      </c>
    </row>
    <row r="44" spans="2:17" x14ac:dyDescent="0.3">
      <c r="B44" s="49" t="s">
        <v>2</v>
      </c>
      <c r="C44" s="11">
        <f>C7+C25</f>
        <v>444947</v>
      </c>
      <c r="D44" s="112">
        <f t="shared" si="31"/>
        <v>110910775</v>
      </c>
      <c r="E44" s="105">
        <f>E7</f>
        <v>1415</v>
      </c>
      <c r="F44" s="105">
        <f t="shared" ref="F44" si="37">D44/E44</f>
        <v>78382.173144876331</v>
      </c>
      <c r="G44" s="104">
        <f t="shared" ref="G44" si="38">F44/C44</f>
        <v>0.17616069586911773</v>
      </c>
      <c r="H44" s="11">
        <f t="shared" si="26"/>
        <v>1789039</v>
      </c>
      <c r="I44" s="103">
        <f t="shared" ref="I44" si="39">F44/H44</f>
        <v>4.3812445198162998E-2</v>
      </c>
      <c r="J44" s="22">
        <f t="shared" ref="J44" si="40">C44/H44</f>
        <v>0.24870726686226516</v>
      </c>
      <c r="L44" s="49" t="s">
        <v>2</v>
      </c>
      <c r="M44" s="11">
        <f t="shared" si="32"/>
        <v>444947</v>
      </c>
      <c r="N44" s="105">
        <f t="shared" si="33"/>
        <v>78382.173144876331</v>
      </c>
      <c r="O44" s="104">
        <f t="shared" si="34"/>
        <v>0.17616069586911773</v>
      </c>
      <c r="P44" s="11">
        <f t="shared" si="35"/>
        <v>1789039</v>
      </c>
      <c r="Q44" s="103">
        <f t="shared" si="36"/>
        <v>4.3812445198162998E-2</v>
      </c>
    </row>
    <row r="45" spans="2:17" x14ac:dyDescent="0.3">
      <c r="B45" s="49" t="s">
        <v>3</v>
      </c>
      <c r="C45" s="11">
        <f t="shared" ref="C45:C53" si="41">C8+C26</f>
        <v>362382</v>
      </c>
      <c r="D45" s="112">
        <f t="shared" si="31"/>
        <v>102570133.03999999</v>
      </c>
      <c r="E45" s="105">
        <f t="shared" ref="E45:E53" si="42">E8</f>
        <v>1415</v>
      </c>
      <c r="F45" s="105">
        <f t="shared" ref="F45" si="43">D45/E45</f>
        <v>72487.726530035332</v>
      </c>
      <c r="G45" s="104">
        <f t="shared" ref="G45" si="44">F45/C45</f>
        <v>0.20003125577439093</v>
      </c>
      <c r="H45" s="11">
        <f t="shared" si="26"/>
        <v>1446819</v>
      </c>
      <c r="I45" s="103">
        <f t="shared" ref="I45" si="45">F45/H45</f>
        <v>5.0101447748498833E-2</v>
      </c>
      <c r="J45" s="22">
        <f t="shared" ref="J45" si="46">C45/H45</f>
        <v>0.25046809587101082</v>
      </c>
      <c r="L45" s="49" t="s">
        <v>3</v>
      </c>
      <c r="M45" s="11">
        <f t="shared" ref="M45:M53" si="47">C45</f>
        <v>362382</v>
      </c>
      <c r="N45" s="105">
        <f t="shared" ref="N45:N53" si="48">F45</f>
        <v>72487.726530035332</v>
      </c>
      <c r="O45" s="104">
        <f t="shared" si="29"/>
        <v>0.20003125577439093</v>
      </c>
      <c r="P45" s="11">
        <f t="shared" ref="P45:P53" si="49">H45</f>
        <v>1446819</v>
      </c>
      <c r="Q45" s="103">
        <f t="shared" si="30"/>
        <v>5.0101447748498833E-2</v>
      </c>
    </row>
    <row r="46" spans="2:17" x14ac:dyDescent="0.3">
      <c r="B46" s="49" t="s">
        <v>4</v>
      </c>
      <c r="C46" s="11">
        <f t="shared" si="41"/>
        <v>0</v>
      </c>
      <c r="D46" s="111">
        <f t="shared" si="31"/>
        <v>0</v>
      </c>
      <c r="E46" s="105">
        <f t="shared" si="42"/>
        <v>0</v>
      </c>
      <c r="F46" s="105"/>
      <c r="G46" s="104"/>
      <c r="H46" s="11">
        <f t="shared" si="26"/>
        <v>0</v>
      </c>
      <c r="I46" s="103"/>
      <c r="J46" s="22"/>
      <c r="L46" s="49" t="s">
        <v>4</v>
      </c>
      <c r="M46" s="11">
        <f t="shared" si="47"/>
        <v>0</v>
      </c>
      <c r="N46" s="105">
        <f t="shared" si="48"/>
        <v>0</v>
      </c>
      <c r="O46" s="104"/>
      <c r="P46" s="11">
        <f t="shared" si="49"/>
        <v>0</v>
      </c>
      <c r="Q46" s="103"/>
    </row>
    <row r="47" spans="2:17" x14ac:dyDescent="0.3">
      <c r="B47" s="49" t="s">
        <v>5</v>
      </c>
      <c r="C47" s="11">
        <f t="shared" si="41"/>
        <v>0</v>
      </c>
      <c r="D47" s="111">
        <f t="shared" si="31"/>
        <v>0</v>
      </c>
      <c r="E47" s="12">
        <f t="shared" si="42"/>
        <v>0</v>
      </c>
      <c r="F47" s="105"/>
      <c r="G47" s="104"/>
      <c r="H47" s="11">
        <f t="shared" si="26"/>
        <v>0</v>
      </c>
      <c r="I47" s="103"/>
      <c r="J47" s="22"/>
      <c r="L47" s="49" t="s">
        <v>5</v>
      </c>
      <c r="M47" s="11">
        <f t="shared" si="47"/>
        <v>0</v>
      </c>
      <c r="N47" s="105">
        <f t="shared" si="48"/>
        <v>0</v>
      </c>
      <c r="O47" s="104"/>
      <c r="P47" s="11">
        <f t="shared" si="49"/>
        <v>0</v>
      </c>
      <c r="Q47" s="103"/>
    </row>
    <row r="48" spans="2:17" x14ac:dyDescent="0.3">
      <c r="B48" s="49" t="s">
        <v>6</v>
      </c>
      <c r="C48" s="11">
        <f t="shared" si="41"/>
        <v>0</v>
      </c>
      <c r="D48" s="111">
        <f t="shared" si="31"/>
        <v>0</v>
      </c>
      <c r="E48" s="12">
        <f t="shared" si="42"/>
        <v>0</v>
      </c>
      <c r="F48" s="105"/>
      <c r="G48" s="104"/>
      <c r="H48" s="11">
        <f t="shared" si="26"/>
        <v>0</v>
      </c>
      <c r="I48" s="103"/>
      <c r="J48" s="22"/>
      <c r="L48" s="49" t="s">
        <v>6</v>
      </c>
      <c r="M48" s="11">
        <f t="shared" si="47"/>
        <v>0</v>
      </c>
      <c r="N48" s="105">
        <f t="shared" si="48"/>
        <v>0</v>
      </c>
      <c r="O48" s="104"/>
      <c r="P48" s="11">
        <f t="shared" si="49"/>
        <v>0</v>
      </c>
      <c r="Q48" s="103"/>
    </row>
    <row r="49" spans="2:17" x14ac:dyDescent="0.3">
      <c r="B49" s="49" t="s">
        <v>16</v>
      </c>
      <c r="C49" s="11">
        <f t="shared" si="41"/>
        <v>0</v>
      </c>
      <c r="D49" s="111">
        <f t="shared" si="31"/>
        <v>0</v>
      </c>
      <c r="E49" s="12">
        <f t="shared" si="42"/>
        <v>0</v>
      </c>
      <c r="F49" s="105"/>
      <c r="G49" s="104"/>
      <c r="H49" s="11">
        <f t="shared" si="26"/>
        <v>0</v>
      </c>
      <c r="I49" s="103"/>
      <c r="J49" s="22"/>
      <c r="L49" s="49" t="s">
        <v>16</v>
      </c>
      <c r="M49" s="11">
        <f t="shared" si="47"/>
        <v>0</v>
      </c>
      <c r="N49" s="105">
        <f t="shared" si="48"/>
        <v>0</v>
      </c>
      <c r="O49" s="104"/>
      <c r="P49" s="11">
        <f t="shared" si="49"/>
        <v>0</v>
      </c>
      <c r="Q49" s="103"/>
    </row>
    <row r="50" spans="2:17" x14ac:dyDescent="0.3">
      <c r="B50" s="49" t="s">
        <v>20</v>
      </c>
      <c r="C50" s="11">
        <f t="shared" si="41"/>
        <v>0</v>
      </c>
      <c r="D50" s="111">
        <f t="shared" si="31"/>
        <v>0</v>
      </c>
      <c r="E50" s="12">
        <f t="shared" si="42"/>
        <v>0</v>
      </c>
      <c r="F50" s="105"/>
      <c r="G50" s="104"/>
      <c r="H50" s="11">
        <f t="shared" si="26"/>
        <v>0</v>
      </c>
      <c r="I50" s="103"/>
      <c r="J50" s="22"/>
      <c r="L50" s="49" t="s">
        <v>20</v>
      </c>
      <c r="M50" s="11">
        <f t="shared" si="47"/>
        <v>0</v>
      </c>
      <c r="N50" s="105">
        <f t="shared" si="48"/>
        <v>0</v>
      </c>
      <c r="O50" s="104"/>
      <c r="P50" s="11">
        <f t="shared" si="49"/>
        <v>0</v>
      </c>
      <c r="Q50" s="103"/>
    </row>
    <row r="51" spans="2:17" x14ac:dyDescent="0.3">
      <c r="B51" s="49" t="s">
        <v>21</v>
      </c>
      <c r="C51" s="11">
        <f t="shared" si="41"/>
        <v>0</v>
      </c>
      <c r="D51" s="111">
        <f t="shared" si="31"/>
        <v>0</v>
      </c>
      <c r="E51" s="12">
        <f t="shared" si="42"/>
        <v>0</v>
      </c>
      <c r="F51" s="105"/>
      <c r="G51" s="104"/>
      <c r="H51" s="11">
        <f t="shared" si="26"/>
        <v>0</v>
      </c>
      <c r="I51" s="103"/>
      <c r="J51" s="22"/>
      <c r="L51" s="49" t="s">
        <v>21</v>
      </c>
      <c r="M51" s="11">
        <f t="shared" si="47"/>
        <v>0</v>
      </c>
      <c r="N51" s="105">
        <f t="shared" si="48"/>
        <v>0</v>
      </c>
      <c r="O51" s="104"/>
      <c r="P51" s="11">
        <f t="shared" si="49"/>
        <v>0</v>
      </c>
      <c r="Q51" s="103"/>
    </row>
    <row r="52" spans="2:17" x14ac:dyDescent="0.3">
      <c r="B52" s="49" t="s">
        <v>22</v>
      </c>
      <c r="C52" s="11">
        <f t="shared" si="41"/>
        <v>0</v>
      </c>
      <c r="D52" s="111">
        <f t="shared" si="31"/>
        <v>0</v>
      </c>
      <c r="E52" s="12">
        <f t="shared" si="42"/>
        <v>0</v>
      </c>
      <c r="F52" s="105"/>
      <c r="G52" s="104"/>
      <c r="H52" s="11">
        <f t="shared" si="26"/>
        <v>0</v>
      </c>
      <c r="I52" s="103"/>
      <c r="J52" s="22"/>
      <c r="L52" s="49" t="s">
        <v>22</v>
      </c>
      <c r="M52" s="11">
        <f t="shared" si="47"/>
        <v>0</v>
      </c>
      <c r="N52" s="105">
        <f t="shared" si="48"/>
        <v>0</v>
      </c>
      <c r="O52" s="104"/>
      <c r="P52" s="11">
        <f t="shared" si="49"/>
        <v>0</v>
      </c>
      <c r="Q52" s="103"/>
    </row>
    <row r="53" spans="2:17" x14ac:dyDescent="0.3">
      <c r="B53" s="49" t="s">
        <v>23</v>
      </c>
      <c r="C53" s="11">
        <f t="shared" si="41"/>
        <v>0</v>
      </c>
      <c r="D53" s="11">
        <f t="shared" si="31"/>
        <v>0</v>
      </c>
      <c r="E53" s="12">
        <f t="shared" si="42"/>
        <v>0</v>
      </c>
      <c r="F53" s="105"/>
      <c r="G53" s="104"/>
      <c r="H53" s="11">
        <f t="shared" si="26"/>
        <v>0</v>
      </c>
      <c r="I53" s="103"/>
      <c r="J53" s="22"/>
      <c r="L53" s="49" t="s">
        <v>23</v>
      </c>
      <c r="M53" s="11">
        <f t="shared" si="47"/>
        <v>0</v>
      </c>
      <c r="N53" s="105">
        <f t="shared" si="48"/>
        <v>0</v>
      </c>
      <c r="O53" s="104"/>
      <c r="P53" s="11">
        <f t="shared" si="49"/>
        <v>0</v>
      </c>
      <c r="Q53" s="103"/>
    </row>
    <row r="54" spans="2:17" x14ac:dyDescent="0.3">
      <c r="L54" s="123" t="s">
        <v>74</v>
      </c>
      <c r="M54" s="129"/>
      <c r="N54" s="130">
        <f>F56</f>
        <v>71549.373441821357</v>
      </c>
      <c r="O54" s="131">
        <f>G56</f>
        <v>0.19261062726482547</v>
      </c>
      <c r="P54" s="132"/>
      <c r="Q54" s="128">
        <f>I56</f>
        <v>4.9677681328125077E-2</v>
      </c>
    </row>
    <row r="55" spans="2:17" x14ac:dyDescent="0.3">
      <c r="B55" s="17" t="s">
        <v>24</v>
      </c>
      <c r="C55" s="18">
        <f>SUM(C42:C53)</f>
        <v>1502542</v>
      </c>
      <c r="D55" s="18"/>
      <c r="E55" s="18"/>
      <c r="F55" s="18">
        <f>SUM(F42:F53)</f>
        <v>286197.49376728543</v>
      </c>
      <c r="G55" s="18"/>
      <c r="H55" s="18">
        <f>SUM(H42:H53)</f>
        <v>5761088</v>
      </c>
      <c r="M55" s="76"/>
      <c r="O55" s="93"/>
      <c r="P55" s="76"/>
      <c r="Q55" s="94"/>
    </row>
    <row r="56" spans="2:17" x14ac:dyDescent="0.3">
      <c r="B56" s="123" t="s">
        <v>74</v>
      </c>
      <c r="C56" s="124"/>
      <c r="D56" s="124"/>
      <c r="E56" s="124"/>
      <c r="F56" s="125">
        <f>AVERAGE(F42:F53)</f>
        <v>71549.373441821357</v>
      </c>
      <c r="G56" s="126">
        <f>(G42*F42+G43*F43+G44*F44+G45*F45+G46*F46+G47*F47+G48*F48+G49*F49+G50*F50+G51*F51+G52*F52+G53*F53)/F55</f>
        <v>0.19261062726482547</v>
      </c>
      <c r="H56" s="127"/>
      <c r="I56" s="126">
        <f>(I42*H42+I43*H43+I44*H44+I45*H45+I46*H46+I47*H47+I48*H48+I49*H49+I50*H50+H51*I51+H52*I52+H53*I53)/H55</f>
        <v>4.9677681328125077E-2</v>
      </c>
      <c r="J56" s="128">
        <f>(J42*H42+J43*H43+J44*H44+J45*H45+J46*H46+J47*H47+J48*J48+J49*H49+J50*H50+J51*H51+J52*H52+J53*H53)/H55</f>
        <v>0.26080872224135443</v>
      </c>
      <c r="M56" s="76"/>
      <c r="P56" s="93"/>
      <c r="Q56" s="76"/>
    </row>
    <row r="57" spans="2:17" x14ac:dyDescent="0.3">
      <c r="M57" s="76"/>
      <c r="Q57" s="93"/>
    </row>
    <row r="58" spans="2:17" x14ac:dyDescent="0.3">
      <c r="M58" s="7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4716-50BA-4A71-ABA6-6250433701D1}">
  <dimension ref="B2:C49"/>
  <sheetViews>
    <sheetView topLeftCell="A9" workbookViewId="0">
      <selection activeCell="M10" sqref="M10"/>
    </sheetView>
  </sheetViews>
  <sheetFormatPr baseColWidth="10" defaultRowHeight="14.4" x14ac:dyDescent="0.3"/>
  <cols>
    <col min="3" max="3" width="14.88671875" customWidth="1"/>
  </cols>
  <sheetData>
    <row r="2" spans="2:3" ht="18" x14ac:dyDescent="0.35">
      <c r="B2" s="65" t="s">
        <v>17</v>
      </c>
      <c r="C2" s="39"/>
    </row>
    <row r="3" spans="2:3" x14ac:dyDescent="0.3">
      <c r="B3" t="s">
        <v>53</v>
      </c>
    </row>
    <row r="4" spans="2:3" x14ac:dyDescent="0.3">
      <c r="C4" s="2" t="s">
        <v>43</v>
      </c>
    </row>
    <row r="5" spans="2:3" x14ac:dyDescent="0.3">
      <c r="B5" s="2" t="s">
        <v>0</v>
      </c>
      <c r="C5" s="3">
        <f>datos26!C42</f>
        <v>256925</v>
      </c>
    </row>
    <row r="6" spans="2:3" x14ac:dyDescent="0.3">
      <c r="B6" s="2" t="s">
        <v>1</v>
      </c>
      <c r="C6" s="3">
        <f>datos26!C43</f>
        <v>438288</v>
      </c>
    </row>
    <row r="7" spans="2:3" x14ac:dyDescent="0.3">
      <c r="B7" s="2" t="s">
        <v>2</v>
      </c>
      <c r="C7" s="3">
        <f>datos26!C44</f>
        <v>444947</v>
      </c>
    </row>
    <row r="8" spans="2:3" x14ac:dyDescent="0.3">
      <c r="B8" s="2" t="s">
        <v>3</v>
      </c>
      <c r="C8" s="3">
        <f>datos26!C45</f>
        <v>362382</v>
      </c>
    </row>
    <row r="9" spans="2:3" x14ac:dyDescent="0.3">
      <c r="B9" s="2" t="s">
        <v>4</v>
      </c>
      <c r="C9" s="3"/>
    </row>
    <row r="10" spans="2:3" x14ac:dyDescent="0.3">
      <c r="B10" s="2" t="s">
        <v>5</v>
      </c>
      <c r="C10" s="3"/>
    </row>
    <row r="11" spans="2:3" x14ac:dyDescent="0.3">
      <c r="B11" s="2" t="s">
        <v>6</v>
      </c>
      <c r="C11" s="3"/>
    </row>
    <row r="12" spans="2:3" x14ac:dyDescent="0.3">
      <c r="B12" s="2" t="s">
        <v>16</v>
      </c>
      <c r="C12" s="3"/>
    </row>
    <row r="13" spans="2:3" x14ac:dyDescent="0.3">
      <c r="B13" s="2" t="s">
        <v>20</v>
      </c>
      <c r="C13" s="3"/>
    </row>
    <row r="14" spans="2:3" x14ac:dyDescent="0.3">
      <c r="B14" s="2" t="s">
        <v>21</v>
      </c>
      <c r="C14" s="3"/>
    </row>
    <row r="15" spans="2:3" x14ac:dyDescent="0.3">
      <c r="B15" s="2" t="s">
        <v>22</v>
      </c>
      <c r="C15" s="3"/>
    </row>
    <row r="16" spans="2:3" x14ac:dyDescent="0.3">
      <c r="B16" s="2" t="s">
        <v>23</v>
      </c>
      <c r="C16" s="3"/>
    </row>
    <row r="17" spans="2:3" x14ac:dyDescent="0.3">
      <c r="B17" s="97" t="s">
        <v>14</v>
      </c>
      <c r="C17" s="98">
        <f>AVERAGE(C5:C16)</f>
        <v>375635.5</v>
      </c>
    </row>
    <row r="19" spans="2:3" ht="18" x14ac:dyDescent="0.35">
      <c r="B19" s="65" t="s">
        <v>19</v>
      </c>
      <c r="C19" s="39"/>
    </row>
    <row r="20" spans="2:3" x14ac:dyDescent="0.3">
      <c r="C20" s="2" t="s">
        <v>13</v>
      </c>
    </row>
    <row r="21" spans="2:3" x14ac:dyDescent="0.3">
      <c r="B21" s="2" t="s">
        <v>0</v>
      </c>
      <c r="C21" s="4">
        <f>datos26!G42</f>
        <v>0.22878344682234089</v>
      </c>
    </row>
    <row r="22" spans="2:3" x14ac:dyDescent="0.3">
      <c r="B22" s="2" t="s">
        <v>1</v>
      </c>
      <c r="C22" s="4">
        <f>datos26!G43</f>
        <v>0.17465093047846131</v>
      </c>
    </row>
    <row r="23" spans="2:3" x14ac:dyDescent="0.3">
      <c r="B23" s="2" t="s">
        <v>2</v>
      </c>
      <c r="C23" s="4">
        <f>datos26!G44</f>
        <v>0.17616069586911773</v>
      </c>
    </row>
    <row r="24" spans="2:3" x14ac:dyDescent="0.3">
      <c r="B24" s="2" t="s">
        <v>3</v>
      </c>
      <c r="C24" s="4">
        <f>datos26!G45</f>
        <v>0.20003125577439093</v>
      </c>
    </row>
    <row r="25" spans="2:3" x14ac:dyDescent="0.3">
      <c r="B25" s="2" t="s">
        <v>4</v>
      </c>
      <c r="C25" s="4"/>
    </row>
    <row r="26" spans="2:3" x14ac:dyDescent="0.3">
      <c r="B26" s="2" t="s">
        <v>5</v>
      </c>
      <c r="C26" s="4"/>
    </row>
    <row r="27" spans="2:3" x14ac:dyDescent="0.3">
      <c r="B27" s="2" t="s">
        <v>6</v>
      </c>
      <c r="C27" s="4"/>
    </row>
    <row r="28" spans="2:3" x14ac:dyDescent="0.3">
      <c r="B28" s="2" t="s">
        <v>16</v>
      </c>
      <c r="C28" s="4"/>
    </row>
    <row r="29" spans="2:3" x14ac:dyDescent="0.3">
      <c r="B29" s="2" t="s">
        <v>20</v>
      </c>
      <c r="C29" s="4"/>
    </row>
    <row r="30" spans="2:3" x14ac:dyDescent="0.3">
      <c r="B30" s="2" t="s">
        <v>21</v>
      </c>
      <c r="C30" s="4"/>
    </row>
    <row r="31" spans="2:3" x14ac:dyDescent="0.3">
      <c r="B31" s="2" t="s">
        <v>22</v>
      </c>
      <c r="C31" s="4"/>
    </row>
    <row r="32" spans="2:3" x14ac:dyDescent="0.3">
      <c r="B32" s="2" t="s">
        <v>23</v>
      </c>
      <c r="C32" s="4"/>
    </row>
    <row r="33" spans="2:3" x14ac:dyDescent="0.3">
      <c r="B33" s="100" t="s">
        <v>62</v>
      </c>
      <c r="C33" s="101">
        <f>datos26!G56</f>
        <v>0.19261062726482547</v>
      </c>
    </row>
    <row r="34" spans="2:3" x14ac:dyDescent="0.3">
      <c r="B34" s="5"/>
      <c r="C34" s="6"/>
    </row>
    <row r="35" spans="2:3" ht="18" x14ac:dyDescent="0.35">
      <c r="B35" s="65" t="s">
        <v>18</v>
      </c>
      <c r="C35" s="39"/>
    </row>
    <row r="36" spans="2:3" x14ac:dyDescent="0.3">
      <c r="B36" s="39"/>
      <c r="C36" s="40" t="s">
        <v>12</v>
      </c>
    </row>
    <row r="37" spans="2:3" x14ac:dyDescent="0.3">
      <c r="B37" s="2" t="s">
        <v>0</v>
      </c>
      <c r="C37" s="4">
        <f>datos26!I42</f>
        <v>4.9233678371281675E-2</v>
      </c>
    </row>
    <row r="38" spans="2:3" x14ac:dyDescent="0.3">
      <c r="B38" s="2" t="s">
        <v>1</v>
      </c>
      <c r="C38" s="4">
        <f>datos26!I43</f>
        <v>5.7497030797477297E-2</v>
      </c>
    </row>
    <row r="39" spans="2:3" x14ac:dyDescent="0.3">
      <c r="B39" s="2" t="s">
        <v>2</v>
      </c>
      <c r="C39" s="4">
        <f>datos26!I44</f>
        <v>4.3812445198162998E-2</v>
      </c>
    </row>
    <row r="40" spans="2:3" x14ac:dyDescent="0.3">
      <c r="B40" s="2" t="s">
        <v>3</v>
      </c>
      <c r="C40" s="4">
        <f>datos26!I45</f>
        <v>5.0101447748498833E-2</v>
      </c>
    </row>
    <row r="41" spans="2:3" x14ac:dyDescent="0.3">
      <c r="B41" s="2" t="s">
        <v>4</v>
      </c>
      <c r="C41" s="4"/>
    </row>
    <row r="42" spans="2:3" x14ac:dyDescent="0.3">
      <c r="B42" s="2" t="s">
        <v>5</v>
      </c>
      <c r="C42" s="4"/>
    </row>
    <row r="43" spans="2:3" x14ac:dyDescent="0.3">
      <c r="B43" s="2" t="s">
        <v>6</v>
      </c>
      <c r="C43" s="4"/>
    </row>
    <row r="44" spans="2:3" x14ac:dyDescent="0.3">
      <c r="B44" s="2" t="s">
        <v>16</v>
      </c>
      <c r="C44" s="4"/>
    </row>
    <row r="45" spans="2:3" x14ac:dyDescent="0.3">
      <c r="B45" s="2" t="s">
        <v>20</v>
      </c>
      <c r="C45" s="4"/>
    </row>
    <row r="46" spans="2:3" x14ac:dyDescent="0.3">
      <c r="B46" s="2" t="s">
        <v>21</v>
      </c>
      <c r="C46" s="4"/>
    </row>
    <row r="47" spans="2:3" x14ac:dyDescent="0.3">
      <c r="B47" s="2" t="s">
        <v>22</v>
      </c>
      <c r="C47" s="4"/>
    </row>
    <row r="48" spans="2:3" x14ac:dyDescent="0.3">
      <c r="B48" s="2" t="s">
        <v>23</v>
      </c>
      <c r="C48" s="4"/>
    </row>
    <row r="49" spans="2:3" x14ac:dyDescent="0.3">
      <c r="B49" s="100" t="s">
        <v>62</v>
      </c>
      <c r="C49" s="101">
        <f>datos26!I56</f>
        <v>4.9677681328125077E-2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CC42-355E-4B19-B840-942E2FCDE98F}">
  <dimension ref="A3:O25"/>
  <sheetViews>
    <sheetView tabSelected="1" workbookViewId="0">
      <selection activeCell="B22" sqref="B22"/>
    </sheetView>
  </sheetViews>
  <sheetFormatPr baseColWidth="10" defaultRowHeight="14.4" x14ac:dyDescent="0.3"/>
  <cols>
    <col min="1" max="1" width="22.44140625" customWidth="1"/>
    <col min="2" max="3" width="12.109375" customWidth="1"/>
    <col min="10" max="10" width="12.5546875" customWidth="1"/>
    <col min="11" max="11" width="12.21875" customWidth="1"/>
    <col min="12" max="12" width="12" customWidth="1"/>
    <col min="13" max="13" width="12.6640625" customWidth="1"/>
    <col min="14" max="14" width="12.77734375" customWidth="1"/>
  </cols>
  <sheetData>
    <row r="3" spans="1:15" ht="18" x14ac:dyDescent="0.35">
      <c r="A3" s="181" t="s">
        <v>95</v>
      </c>
    </row>
    <row r="4" spans="1:15" x14ac:dyDescent="0.3">
      <c r="A4" s="190"/>
      <c r="B4" s="192"/>
      <c r="C4" s="193"/>
      <c r="D4" s="223"/>
      <c r="E4" s="224"/>
      <c r="F4" s="194"/>
      <c r="G4" s="194"/>
      <c r="H4" s="216"/>
      <c r="I4" s="194"/>
      <c r="J4" s="197"/>
      <c r="K4" s="198"/>
      <c r="L4" s="199" t="s">
        <v>89</v>
      </c>
      <c r="M4" s="199"/>
      <c r="N4" s="200"/>
    </row>
    <row r="5" spans="1:15" x14ac:dyDescent="0.3">
      <c r="A5" s="191" t="s">
        <v>84</v>
      </c>
      <c r="B5" s="195">
        <v>2023</v>
      </c>
      <c r="C5" s="196"/>
      <c r="D5" s="195">
        <v>2024</v>
      </c>
      <c r="E5" s="203"/>
      <c r="F5" s="196">
        <v>2025</v>
      </c>
      <c r="G5" s="196"/>
      <c r="H5" s="195">
        <v>2026</v>
      </c>
      <c r="I5" s="211" t="s">
        <v>97</v>
      </c>
      <c r="J5" s="201"/>
      <c r="K5" s="202" t="s">
        <v>85</v>
      </c>
      <c r="L5" s="196" t="s">
        <v>86</v>
      </c>
      <c r="M5" s="196" t="s">
        <v>87</v>
      </c>
      <c r="N5" s="203" t="s">
        <v>88</v>
      </c>
    </row>
    <row r="6" spans="1:15" x14ac:dyDescent="0.3">
      <c r="A6" s="180"/>
      <c r="B6" s="148" t="s">
        <v>54</v>
      </c>
      <c r="C6" s="149" t="s">
        <v>28</v>
      </c>
      <c r="D6" s="148" t="s">
        <v>54</v>
      </c>
      <c r="E6" s="150" t="s">
        <v>28</v>
      </c>
      <c r="F6" s="149" t="s">
        <v>54</v>
      </c>
      <c r="G6" s="149" t="s">
        <v>28</v>
      </c>
      <c r="H6" s="148" t="s">
        <v>54</v>
      </c>
      <c r="I6" s="150" t="s">
        <v>28</v>
      </c>
      <c r="J6" s="214" t="s">
        <v>102</v>
      </c>
      <c r="K6" s="156"/>
      <c r="L6" s="145"/>
      <c r="M6" s="162"/>
      <c r="N6" s="145"/>
    </row>
    <row r="7" spans="1:15" x14ac:dyDescent="0.3">
      <c r="A7" s="146">
        <v>300</v>
      </c>
      <c r="B7" s="139">
        <v>0.6</v>
      </c>
      <c r="C7" s="183">
        <v>160000</v>
      </c>
      <c r="D7" s="218">
        <v>0.8</v>
      </c>
      <c r="E7" s="219">
        <v>221000</v>
      </c>
      <c r="F7" s="159">
        <v>0.8</v>
      </c>
      <c r="G7" s="215">
        <v>188000</v>
      </c>
      <c r="H7" s="186">
        <v>1.8</v>
      </c>
      <c r="I7" s="188">
        <v>134000</v>
      </c>
      <c r="J7" s="212" t="s">
        <v>99</v>
      </c>
      <c r="K7" s="140">
        <v>715</v>
      </c>
      <c r="L7" s="153">
        <v>421</v>
      </c>
      <c r="M7" s="151">
        <v>370</v>
      </c>
      <c r="N7" s="153">
        <v>370</v>
      </c>
    </row>
    <row r="8" spans="1:15" x14ac:dyDescent="0.3">
      <c r="A8" s="146" t="s">
        <v>90</v>
      </c>
      <c r="B8" s="139">
        <v>68.099999999999994</v>
      </c>
      <c r="C8" s="183">
        <v>17164000</v>
      </c>
      <c r="D8" s="220">
        <v>70.2</v>
      </c>
      <c r="E8" s="221">
        <v>19029000</v>
      </c>
      <c r="F8" s="140">
        <v>74.8</v>
      </c>
      <c r="G8" s="183">
        <v>17407000</v>
      </c>
      <c r="H8" s="186">
        <v>43.9</v>
      </c>
      <c r="I8" s="188">
        <v>3291000</v>
      </c>
      <c r="J8" s="212" t="s">
        <v>100</v>
      </c>
      <c r="K8" s="140">
        <v>358</v>
      </c>
      <c r="L8" s="153">
        <v>210</v>
      </c>
      <c r="M8" s="151">
        <v>131</v>
      </c>
      <c r="N8" s="155">
        <v>92</v>
      </c>
    </row>
    <row r="9" spans="1:15" x14ac:dyDescent="0.3">
      <c r="A9" s="146">
        <v>600</v>
      </c>
      <c r="B9" s="139">
        <v>0.8</v>
      </c>
      <c r="C9" s="183">
        <v>191000</v>
      </c>
      <c r="D9" s="220">
        <v>1.3</v>
      </c>
      <c r="E9" s="221">
        <v>366000</v>
      </c>
      <c r="F9" s="140">
        <v>2</v>
      </c>
      <c r="G9" s="183">
        <v>476000</v>
      </c>
      <c r="H9" s="186">
        <v>3</v>
      </c>
      <c r="I9" s="188">
        <v>225000</v>
      </c>
      <c r="J9" s="212" t="s">
        <v>100</v>
      </c>
      <c r="K9" s="140">
        <v>536</v>
      </c>
      <c r="L9" s="153">
        <v>316</v>
      </c>
      <c r="M9" s="151">
        <v>216</v>
      </c>
      <c r="N9" s="153">
        <v>108</v>
      </c>
    </row>
    <row r="10" spans="1:15" x14ac:dyDescent="0.3">
      <c r="A10" s="146" t="s">
        <v>91</v>
      </c>
      <c r="B10" s="139">
        <v>30.4</v>
      </c>
      <c r="C10" s="183">
        <v>7674000</v>
      </c>
      <c r="D10" s="220">
        <v>27.7</v>
      </c>
      <c r="E10" s="221">
        <v>7518000</v>
      </c>
      <c r="F10" s="140">
        <v>18.7</v>
      </c>
      <c r="G10" s="183">
        <v>4347000</v>
      </c>
      <c r="H10" s="186">
        <v>44.8</v>
      </c>
      <c r="I10" s="188">
        <f>1534000+1806000+9000+11000</f>
        <v>3360000</v>
      </c>
      <c r="J10" s="212" t="s">
        <v>101</v>
      </c>
      <c r="K10" s="140">
        <v>715</v>
      </c>
      <c r="L10" s="153">
        <v>421</v>
      </c>
      <c r="M10" s="151">
        <v>285</v>
      </c>
      <c r="N10" s="153">
        <v>285</v>
      </c>
    </row>
    <row r="11" spans="1:15" x14ac:dyDescent="0.3">
      <c r="A11" s="146">
        <v>900</v>
      </c>
      <c r="B11" s="139"/>
      <c r="C11" s="183"/>
      <c r="D11" s="220"/>
      <c r="E11" s="221"/>
      <c r="F11" s="140">
        <v>2.7</v>
      </c>
      <c r="G11" s="183">
        <v>638000</v>
      </c>
      <c r="H11" s="186">
        <v>4.5999999999999996</v>
      </c>
      <c r="I11" s="188">
        <v>343000</v>
      </c>
      <c r="J11" s="212" t="s">
        <v>101</v>
      </c>
      <c r="K11" s="140">
        <v>563</v>
      </c>
      <c r="L11" s="153">
        <v>331</v>
      </c>
      <c r="M11" s="151">
        <v>201</v>
      </c>
      <c r="N11" s="153">
        <v>195</v>
      </c>
    </row>
    <row r="12" spans="1:15" x14ac:dyDescent="0.3">
      <c r="A12" s="147" t="s">
        <v>75</v>
      </c>
      <c r="B12" s="142">
        <v>0.1</v>
      </c>
      <c r="C12" s="184">
        <v>27000</v>
      </c>
      <c r="D12" s="217"/>
      <c r="E12" s="222" t="s">
        <v>98</v>
      </c>
      <c r="F12" s="143">
        <v>1</v>
      </c>
      <c r="G12" s="184">
        <v>231000</v>
      </c>
      <c r="H12" s="187">
        <v>1.9</v>
      </c>
      <c r="I12" s="189">
        <v>139000</v>
      </c>
      <c r="J12" s="213" t="s">
        <v>101</v>
      </c>
      <c r="K12" s="143">
        <v>358</v>
      </c>
      <c r="L12" s="154">
        <v>210</v>
      </c>
      <c r="M12" s="185">
        <v>172</v>
      </c>
      <c r="N12" s="154">
        <v>160</v>
      </c>
    </row>
    <row r="13" spans="1:15" x14ac:dyDescent="0.3">
      <c r="A13" s="157"/>
      <c r="B13" s="140"/>
      <c r="C13" s="183"/>
      <c r="D13" s="140"/>
      <c r="E13" s="140"/>
      <c r="F13" s="140"/>
      <c r="G13" s="140"/>
      <c r="H13" s="140"/>
      <c r="I13" s="140"/>
      <c r="J13" s="140"/>
      <c r="K13" s="140"/>
      <c r="L13" s="151"/>
      <c r="M13" s="151"/>
      <c r="N13" s="151"/>
    </row>
    <row r="14" spans="1:15" ht="18" x14ac:dyDescent="0.35">
      <c r="A14" s="182" t="s">
        <v>76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51"/>
      <c r="M14" s="151"/>
      <c r="N14" s="151"/>
    </row>
    <row r="15" spans="1:15" x14ac:dyDescent="0.3">
      <c r="A15" s="204" t="s">
        <v>96</v>
      </c>
      <c r="B15" s="205"/>
      <c r="C15" s="206"/>
      <c r="D15" s="206"/>
      <c r="E15" s="206"/>
      <c r="F15" s="206"/>
      <c r="G15" s="206"/>
      <c r="H15" s="206"/>
      <c r="I15" s="206"/>
      <c r="J15" s="207"/>
      <c r="K15" s="208" t="s">
        <v>85</v>
      </c>
      <c r="L15" s="209" t="s">
        <v>86</v>
      </c>
      <c r="M15" s="209" t="s">
        <v>87</v>
      </c>
      <c r="N15" s="210" t="s">
        <v>88</v>
      </c>
      <c r="O15" s="156"/>
    </row>
    <row r="16" spans="1:15" x14ac:dyDescent="0.3">
      <c r="A16" s="145" t="s">
        <v>77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2">
        <v>290</v>
      </c>
      <c r="L16" s="159">
        <v>172</v>
      </c>
      <c r="M16" s="152">
        <v>77</v>
      </c>
      <c r="N16" s="160">
        <v>68</v>
      </c>
    </row>
    <row r="17" spans="1:14" x14ac:dyDescent="0.3">
      <c r="A17" s="146" t="s">
        <v>78</v>
      </c>
      <c r="B17" s="157"/>
      <c r="C17" s="157"/>
      <c r="D17" s="157"/>
      <c r="E17" s="157"/>
      <c r="F17" s="157"/>
      <c r="G17" s="157"/>
      <c r="H17" s="157"/>
      <c r="I17" s="157"/>
      <c r="J17" s="157"/>
      <c r="K17" s="155">
        <v>89</v>
      </c>
      <c r="L17" s="140">
        <v>53</v>
      </c>
      <c r="M17" s="155">
        <v>53</v>
      </c>
      <c r="N17" s="141">
        <v>27</v>
      </c>
    </row>
    <row r="18" spans="1:14" x14ac:dyDescent="0.3">
      <c r="A18" s="146" t="s">
        <v>79</v>
      </c>
      <c r="B18" s="157"/>
      <c r="C18" s="157"/>
      <c r="D18" s="157"/>
      <c r="E18" s="157"/>
      <c r="F18" s="157"/>
      <c r="G18" s="157"/>
      <c r="H18" s="157"/>
      <c r="I18" s="157"/>
      <c r="J18" s="157"/>
      <c r="K18" s="155">
        <v>26</v>
      </c>
      <c r="L18" s="140">
        <v>26</v>
      </c>
      <c r="M18" s="155">
        <v>26</v>
      </c>
      <c r="N18" s="141">
        <v>13</v>
      </c>
    </row>
    <row r="19" spans="1:14" x14ac:dyDescent="0.3">
      <c r="A19" s="146" t="s">
        <v>93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5">
        <v>42</v>
      </c>
      <c r="L19" s="140">
        <v>42</v>
      </c>
      <c r="M19" s="155">
        <v>42</v>
      </c>
      <c r="N19" s="141">
        <v>34</v>
      </c>
    </row>
    <row r="20" spans="1:14" x14ac:dyDescent="0.3">
      <c r="A20" s="146" t="s">
        <v>80</v>
      </c>
      <c r="B20" s="157" t="s">
        <v>105</v>
      </c>
      <c r="C20" s="157"/>
      <c r="D20" s="157"/>
      <c r="E20" s="157"/>
      <c r="F20" s="157"/>
      <c r="G20" s="157"/>
      <c r="H20" s="157"/>
      <c r="I20" s="157"/>
      <c r="J20" s="157"/>
      <c r="K20" s="155">
        <v>26</v>
      </c>
      <c r="L20" s="140">
        <v>26</v>
      </c>
      <c r="M20" s="155">
        <v>26</v>
      </c>
      <c r="N20" s="141">
        <v>8</v>
      </c>
    </row>
    <row r="21" spans="1:14" x14ac:dyDescent="0.3">
      <c r="A21" s="146" t="s">
        <v>81</v>
      </c>
      <c r="B21" s="157" t="s">
        <v>103</v>
      </c>
      <c r="C21" s="157"/>
      <c r="D21" s="157"/>
      <c r="E21" s="157"/>
      <c r="F21" s="157"/>
      <c r="G21" s="157"/>
      <c r="H21" s="157"/>
      <c r="I21" s="157"/>
      <c r="J21" s="157"/>
      <c r="K21" s="155">
        <v>26</v>
      </c>
      <c r="L21" s="140">
        <v>26</v>
      </c>
      <c r="M21" s="155">
        <v>36</v>
      </c>
      <c r="N21" s="141">
        <v>8</v>
      </c>
    </row>
    <row r="22" spans="1:14" x14ac:dyDescent="0.3">
      <c r="A22" s="146" t="s">
        <v>94</v>
      </c>
      <c r="B22" s="157" t="s">
        <v>104</v>
      </c>
      <c r="C22" s="157"/>
      <c r="D22" s="157"/>
      <c r="E22" s="157"/>
      <c r="F22" s="157"/>
      <c r="G22" s="157"/>
      <c r="H22" s="157"/>
      <c r="I22" s="157"/>
      <c r="J22" s="157"/>
      <c r="K22" s="155">
        <v>131</v>
      </c>
      <c r="L22" s="140">
        <v>131</v>
      </c>
      <c r="M22" s="155">
        <v>131</v>
      </c>
      <c r="N22" s="141">
        <v>66</v>
      </c>
    </row>
    <row r="23" spans="1:14" x14ac:dyDescent="0.3">
      <c r="A23" s="146" t="s">
        <v>82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5">
        <v>26</v>
      </c>
      <c r="L23" s="140">
        <v>26</v>
      </c>
      <c r="M23" s="155">
        <v>26</v>
      </c>
      <c r="N23" s="141">
        <v>3</v>
      </c>
    </row>
    <row r="24" spans="1:14" x14ac:dyDescent="0.3">
      <c r="A24" s="146" t="s">
        <v>83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5">
        <v>131</v>
      </c>
      <c r="L24" s="140">
        <v>131</v>
      </c>
      <c r="M24" s="155">
        <v>131</v>
      </c>
      <c r="N24" s="141">
        <v>66</v>
      </c>
    </row>
    <row r="25" spans="1:14" x14ac:dyDescent="0.3">
      <c r="A25" s="147" t="s">
        <v>92</v>
      </c>
      <c r="B25" s="158"/>
      <c r="C25" s="158"/>
      <c r="D25" s="158"/>
      <c r="E25" s="158"/>
      <c r="F25" s="158"/>
      <c r="G25" s="158"/>
      <c r="H25" s="158"/>
      <c r="I25" s="158"/>
      <c r="J25" s="158"/>
      <c r="K25" s="161">
        <v>26</v>
      </c>
      <c r="L25" s="143">
        <v>26</v>
      </c>
      <c r="M25" s="161">
        <v>26</v>
      </c>
      <c r="N25" s="144">
        <v>8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Hoja1</vt:lpstr>
      <vt:lpstr>datos23</vt:lpstr>
      <vt:lpstr>graficos 23</vt:lpstr>
      <vt:lpstr>datos24</vt:lpstr>
      <vt:lpstr>graficos 24</vt:lpstr>
      <vt:lpstr>datos25</vt:lpstr>
      <vt:lpstr>graficos 25</vt:lpstr>
      <vt:lpstr>datos26</vt:lpstr>
      <vt:lpstr>graficos 26</vt:lpstr>
      <vt:lpstr>distribucion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Brunori</cp:lastModifiedBy>
  <cp:lastPrinted>2026-02-03T15:57:21Z</cp:lastPrinted>
  <dcterms:created xsi:type="dcterms:W3CDTF">2023-09-01T12:01:48Z</dcterms:created>
  <dcterms:modified xsi:type="dcterms:W3CDTF">2026-05-27T13:55:17Z</dcterms:modified>
</cp:coreProperties>
</file>