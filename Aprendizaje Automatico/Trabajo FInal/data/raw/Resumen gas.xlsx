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ga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<sst xmlns="http://schemas.openxmlformats.org/spreadsheetml/2006/main" count="104" uniqueCount="34">
  <si>
    <t xml:space="preserve">GAS 2023</t>
  </si>
  <si>
    <t xml:space="preserve">con fondo</t>
  </si>
  <si>
    <t xml:space="preserve">sin fondo</t>
  </si>
  <si>
    <t xml:space="preserve">mm3</t>
  </si>
  <si>
    <t xml:space="preserve">$ fondo</t>
  </si>
  <si>
    <t xml:space="preserve">$ x U$S</t>
  </si>
  <si>
    <t xml:space="preserve">U$S fondo</t>
  </si>
  <si>
    <t xml:space="preserve">U$S fact</t>
  </si>
  <si>
    <t xml:space="preserve">U$S</t>
  </si>
  <si>
    <t xml:space="preserve">U$S / mm3</t>
  </si>
  <si>
    <t xml:space="preserve">lts- kg</t>
  </si>
  <si>
    <t xml:space="preserve">U$S / lt-kg</t>
  </si>
  <si>
    <t xml:space="preserve">mm3 / lt-kg</t>
  </si>
  <si>
    <t xml:space="preserve">MBTU</t>
  </si>
  <si>
    <t xml:space="preserve">U$S/MBTU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</si>
  <si>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</si>
  <si>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</si>
  <si>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</si>
  <si>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</si>
  <si>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</si>
  <si>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</si>
  <si>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</si>
  <si>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</si>
  <si>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</si>
  <si>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</si>
  <si>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</si>
  <si>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</si>
  <si>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GAS 2024</t>
  </si>
  <si>
    <t xml:space="preserve">mm3/lt-kg</t>
  </si>
  <si>
    <t xml:space="preserve">GAS 2025</t>
  </si>
  <si>
    <t xml:space="preserve">lts- kg- udad</t>
  </si>
  <si>
    <t xml:space="preserve">U$S / lt-kg-udad</t>
  </si>
  <si>
    <t xml:space="preserve">GAS 2026</t>
  </si>
  <si>
    <t xml:space="preserve">mes calendario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</si>
</sst>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#,##0"/>
    <numFmt numFmtId="167" formatCode="0.0000"/>
    <numFmt numFmtId="168" formatCode="0.00000"/>
    <numFmt numFmtId="169" formatCode="0.0"/>
    <numFmt numFmtId="170" formatCode="0.00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5" tint="-0.5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1"/>
      <color theme="9" tint="-0.5"/>
      <name val="Calibri"/>
      <family val="2"/>
      <charset val="1"/>
    </font>
    <font>
      <sz val="11"/>
      <color theme="9" tint="-0.5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color theme="1" tint="0.15"/>
      <name val="Calibri"/>
      <family val="2"/>
      <charset val="1"/>
    </font>
    <font>
      <b val="true"/>
      <sz val="9"/>
      <color theme="0"/>
      <name val="Calibri"/>
      <family val="2"/>
      <charset val="1"/>
    </font>
    <font>
      <sz val="1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5" tint="0.3999"/>
        <bgColor rgb="FFF8CBAD"/>
      </patternFill>
    </fill>
    <fill>
      <patternFill patternType="solid">
        <fgColor theme="5" tint="0.5999"/>
        <bgColor rgb="FFFBE5D6"/>
      </patternFill>
    </fill>
    <fill>
      <patternFill patternType="solid">
        <fgColor theme="5" tint="0.7999"/>
        <bgColor rgb="FFD9D9D9"/>
      </patternFill>
    </fill>
    <fill>
      <patternFill patternType="solid">
        <fgColor theme="9" tint="-0.5"/>
        <bgColor rgb="FF262626"/>
      </patternFill>
    </fill>
    <fill>
      <patternFill patternType="solid">
        <fgColor theme="9" tint="0.5999"/>
        <bgColor rgb="FFD9D9D9"/>
      </patternFill>
    </fill>
    <fill>
      <patternFill patternType="solid">
        <fgColor theme="0" tint="-0.5"/>
        <bgColor rgb="FF969696"/>
      </patternFill>
    </fill>
    <fill>
      <patternFill patternType="solid">
        <fgColor theme="0" tint="-0.15"/>
        <bgColor rgb="FFC5E0B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85724"/>
      <rgbColor rgb="FF843C0B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51" activeCellId="0" sqref="O51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2"/>
      <c r="M1" s="3" t="s">
        <v>1</v>
      </c>
      <c r="N1" s="3" t="s">
        <v>2</v>
      </c>
    </row>
    <row r="2" customFormat="false" ht="13.8" hidden="false" customHeight="false" outlineLevel="0" collapsed="false">
      <c r="A2" s="4"/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6" t="s">
        <v>13</v>
      </c>
      <c r="M2" s="6" t="s">
        <v>14</v>
      </c>
      <c r="N2" s="6" t="s">
        <v>14</v>
      </c>
    </row>
    <row r="3" customFormat="false" ht="13.8" hidden="false" customHeight="false" outlineLevel="0" collapsed="false">
      <c r="A3" s="7" t="s">
        <v>15</v>
      </c>
      <c r="B3" s="8" t="n">
        <f aca="false">11.85776+31.52607</f>
        <v>43.38383</v>
      </c>
      <c r="C3" s="9" t="n">
        <f aca="false">21037.7+55932.66</f>
        <v>76970.36</v>
      </c>
      <c r="D3" s="10" t="n">
        <v>184</v>
      </c>
      <c r="E3" s="9" t="n">
        <f aca="false">C3/D3</f>
        <v>418.317173913043</v>
      </c>
      <c r="F3" s="9" t="n">
        <f aca="false">2056.82+5468.43</f>
        <v>7525.25</v>
      </c>
      <c r="G3" s="9" t="n">
        <f aca="false">E3+F3</f>
        <v>7943.56717391304</v>
      </c>
      <c r="H3" s="8" t="n">
        <f aca="false">G3/B3</f>
        <v>183.099721115287</v>
      </c>
      <c r="I3" s="9" t="n">
        <v>1114850</v>
      </c>
      <c r="J3" s="11" t="n">
        <f aca="false">G3/I3</f>
        <v>0.0071252340439638</v>
      </c>
      <c r="K3" s="12" t="n">
        <f aca="false">B3/I3</f>
        <v>3.8914499708481E-005</v>
      </c>
      <c r="L3" s="13" t="n">
        <f aca="false">B3*35.07</f>
        <v>1521.4709181</v>
      </c>
      <c r="M3" s="14" t="n">
        <f aca="false">G3/L3</f>
        <v>5.22097864600192</v>
      </c>
      <c r="N3" s="14" t="n">
        <f aca="false">F3/L3</f>
        <v>4.9460360434608</v>
      </c>
    </row>
    <row r="4" customFormat="false" ht="13.8" hidden="false" customHeight="false" outlineLevel="0" collapsed="false">
      <c r="A4" s="7" t="s">
        <v>16</v>
      </c>
      <c r="B4" s="8" t="n">
        <f aca="false">20.3532+54.11283</f>
        <v>74.46603</v>
      </c>
      <c r="C4" s="9" t="n">
        <f aca="false">38080.55+101244.33</f>
        <v>139324.88</v>
      </c>
      <c r="D4" s="10" t="n">
        <v>204</v>
      </c>
      <c r="E4" s="9" t="n">
        <f aca="false">C4/D4</f>
        <v>682.965098039216</v>
      </c>
      <c r="F4" s="9" t="n">
        <f aca="false">3530.41+9386.27</f>
        <v>12916.68</v>
      </c>
      <c r="G4" s="9" t="n">
        <f aca="false">E4+F4</f>
        <v>13599.6450980392</v>
      </c>
      <c r="H4" s="8" t="n">
        <f aca="false">G4/B4</f>
        <v>182.628845636584</v>
      </c>
      <c r="I4" s="9" t="n">
        <v>2329571</v>
      </c>
      <c r="J4" s="11" t="n">
        <f aca="false">G4/I4</f>
        <v>0.00583783241551308</v>
      </c>
      <c r="K4" s="12" t="n">
        <f aca="false">B4/I4</f>
        <v>3.1965555031377E-005</v>
      </c>
      <c r="L4" s="13" t="n">
        <f aca="false">B4*35.07</f>
        <v>2611.5236721</v>
      </c>
      <c r="M4" s="14" t="n">
        <f aca="false">G4/L4</f>
        <v>5.20755191435939</v>
      </c>
      <c r="N4" s="14" t="n">
        <f aca="false">F4/L4</f>
        <v>4.9460321336522</v>
      </c>
    </row>
    <row r="5" customFormat="false" ht="13.8" hidden="false" customHeight="false" outlineLevel="0" collapsed="false">
      <c r="A5" s="7" t="s">
        <v>17</v>
      </c>
      <c r="B5" s="8" t="n">
        <f aca="false">27.82294+73.97253</f>
        <v>101.79547</v>
      </c>
      <c r="C5" s="9" t="n">
        <f aca="false">55453.59+147433.81</f>
        <v>202887.4</v>
      </c>
      <c r="D5" s="10" t="n">
        <v>215</v>
      </c>
      <c r="E5" s="9" t="n">
        <f aca="false">C5/D5</f>
        <v>943.662325581395</v>
      </c>
      <c r="F5" s="9" t="n">
        <f aca="false">4826.09+12831.08</f>
        <v>17657.17</v>
      </c>
      <c r="G5" s="9" t="n">
        <f aca="false">E5+F5</f>
        <v>18600.8323255814</v>
      </c>
      <c r="H5" s="8" t="n">
        <f aca="false">G5/B5</f>
        <v>182.727505709059</v>
      </c>
      <c r="I5" s="9" t="n">
        <v>1751127</v>
      </c>
      <c r="J5" s="11" t="n">
        <f aca="false">G5/I5</f>
        <v>0.0106222063423049</v>
      </c>
      <c r="K5" s="12" t="n">
        <f aca="false">B5/I5</f>
        <v>5.81314033762257E-005</v>
      </c>
      <c r="L5" s="13" t="n">
        <f aca="false">B5*35.07</f>
        <v>3569.9671329</v>
      </c>
      <c r="M5" s="14" t="n">
        <f aca="false">G5/L5</f>
        <v>5.21036514710748</v>
      </c>
      <c r="N5" s="14" t="n">
        <f aca="false">F5/L5</f>
        <v>4.94603152989157</v>
      </c>
    </row>
    <row r="6" customFormat="false" ht="13.8" hidden="false" customHeight="false" outlineLevel="0" collapsed="false">
      <c r="A6" s="7" t="s">
        <v>18</v>
      </c>
      <c r="B6" s="8" t="n">
        <f aca="false">21.88281+58.17956</f>
        <v>80.06237</v>
      </c>
      <c r="C6" s="9" t="n">
        <f aca="false">46717.89+124208.29</f>
        <v>170926.18</v>
      </c>
      <c r="D6" s="10" t="n">
        <v>230</v>
      </c>
      <c r="E6" s="9" t="n">
        <f aca="false">C6/D6</f>
        <v>743.157304347826</v>
      </c>
      <c r="F6" s="9" t="n">
        <f aca="false">3795.73+10091.67</f>
        <v>13887.4</v>
      </c>
      <c r="G6" s="9" t="n">
        <f aca="false">E6+F6</f>
        <v>14630.5573043478</v>
      </c>
      <c r="H6" s="8" t="n">
        <f aca="false">G6/B6</f>
        <v>182.739498023201</v>
      </c>
      <c r="I6" s="9" t="n">
        <v>2720075</v>
      </c>
      <c r="J6" s="11" t="n">
        <f aca="false">G6/I6</f>
        <v>0.0053787330512386</v>
      </c>
      <c r="K6" s="12" t="n">
        <f aca="false">B6/I6</f>
        <v>2.94338832568955E-005</v>
      </c>
      <c r="L6" s="13" t="n">
        <f aca="false">B6*35.07</f>
        <v>2807.7873159</v>
      </c>
      <c r="M6" s="14" t="n">
        <f aca="false">G6/L6</f>
        <v>5.21070710074712</v>
      </c>
      <c r="N6" s="14" t="n">
        <f aca="false">F6/L6</f>
        <v>4.94602989384492</v>
      </c>
    </row>
    <row r="7" customFormat="false" ht="13.8" hidden="false" customHeight="false" outlineLevel="0" collapsed="false">
      <c r="A7" s="7" t="s">
        <v>19</v>
      </c>
      <c r="B7" s="8" t="n">
        <f aca="false">18.79002+49.95681</f>
        <v>68.74683</v>
      </c>
      <c r="C7" s="9" t="n">
        <f aca="false">49399.94+131339.06</f>
        <v>180739</v>
      </c>
      <c r="D7" s="10" t="n">
        <v>244</v>
      </c>
      <c r="E7" s="9" t="n">
        <f aca="false">C7/D7</f>
        <v>740.733606557377</v>
      </c>
      <c r="F7" s="9" t="n">
        <f aca="false">3744.69+9955.96</f>
        <v>13700.65</v>
      </c>
      <c r="G7" s="9" t="n">
        <f aca="false">E7+F7</f>
        <v>14441.3836065574</v>
      </c>
      <c r="H7" s="8" t="n">
        <f aca="false">G7/B7</f>
        <v>210.066174783003</v>
      </c>
      <c r="I7" s="9" t="n">
        <v>1147140</v>
      </c>
      <c r="J7" s="11" t="n">
        <f aca="false">G7/I7</f>
        <v>0.0125890332536198</v>
      </c>
      <c r="K7" s="12" t="n">
        <f aca="false">B7/I7</f>
        <v>5.99288927245149E-005</v>
      </c>
      <c r="L7" s="13" t="n">
        <f aca="false">B7*35.07</f>
        <v>2410.9513281</v>
      </c>
      <c r="M7" s="14" t="n">
        <f aca="false">G7/L7</f>
        <v>5.98991088631317</v>
      </c>
      <c r="N7" s="14" t="n">
        <f aca="false">F7/L7</f>
        <v>5.68267382270097</v>
      </c>
    </row>
    <row r="8" customFormat="false" ht="13.8" hidden="false" customHeight="false" outlineLevel="0" collapsed="false">
      <c r="A8" s="7" t="s">
        <v>20</v>
      </c>
      <c r="B8" s="8" t="n">
        <f aca="false">10.32209+27.44322</f>
        <v>37.76531</v>
      </c>
      <c r="C8" s="9" t="n">
        <f aca="false">29207.58+77653.86</f>
        <v>106861.44</v>
      </c>
      <c r="D8" s="10" t="n">
        <v>257</v>
      </c>
      <c r="E8" s="9" t="n">
        <f aca="false">C8/D8</f>
        <v>415.80326848249</v>
      </c>
      <c r="F8" s="9" t="n">
        <f aca="false">2057.1+5469.2</f>
        <v>7526.3</v>
      </c>
      <c r="G8" s="9" t="n">
        <f aca="false">E8+F8</f>
        <v>7942.10326848249</v>
      </c>
      <c r="H8" s="8" t="n">
        <f aca="false">G8/B8</f>
        <v>210.301551039366</v>
      </c>
      <c r="I8" s="9" t="n">
        <v>2441754</v>
      </c>
      <c r="J8" s="11" t="n">
        <f aca="false">G8/I8</f>
        <v>0.00325262220046839</v>
      </c>
      <c r="K8" s="12" t="n">
        <f aca="false">B8/I8</f>
        <v>1.54664679570505E-005</v>
      </c>
      <c r="L8" s="13" t="n">
        <f aca="false">B8*35.07</f>
        <v>1324.4294217</v>
      </c>
      <c r="M8" s="14" t="n">
        <f aca="false">G8/L8</f>
        <v>5.99662249898393</v>
      </c>
      <c r="N8" s="14" t="n">
        <f aca="false">F8/L8</f>
        <v>5.6826735171282</v>
      </c>
    </row>
    <row r="9" customFormat="false" ht="13.8" hidden="false" customHeight="false" outlineLevel="0" collapsed="false">
      <c r="A9" s="7" t="s">
        <v>21</v>
      </c>
      <c r="B9" s="8" t="n">
        <f aca="false">34.95822+92.94301</f>
        <v>127.90123</v>
      </c>
      <c r="C9" s="9" t="n">
        <f aca="false">107332.2+285362.87</f>
        <v>392695.07</v>
      </c>
      <c r="D9" s="10" t="n">
        <v>286</v>
      </c>
      <c r="E9" s="9" t="n">
        <f aca="false">C9/D9</f>
        <v>1373.05968531469</v>
      </c>
      <c r="F9" s="9" t="n">
        <f aca="false">6966.87+18522.74</f>
        <v>25489.61</v>
      </c>
      <c r="G9" s="9" t="n">
        <f aca="false">E9+F9</f>
        <v>26862.6696853147</v>
      </c>
      <c r="H9" s="8" t="n">
        <f aca="false">G9/B9</f>
        <v>210.026672028992</v>
      </c>
      <c r="I9" s="9" t="n">
        <v>2751160</v>
      </c>
      <c r="J9" s="11" t="n">
        <f aca="false">G9/I9</f>
        <v>0.00976412483654702</v>
      </c>
      <c r="K9" s="12" t="n">
        <f aca="false">B9/I9</f>
        <v>4.64899278849649E-005</v>
      </c>
      <c r="L9" s="13" t="n">
        <f aca="false">B9*35.07</f>
        <v>4485.4961361</v>
      </c>
      <c r="M9" s="14" t="n">
        <f aca="false">G9/L9</f>
        <v>5.98878448899322</v>
      </c>
      <c r="N9" s="14" t="n">
        <f aca="false">F9/L9</f>
        <v>5.68267349398776</v>
      </c>
    </row>
    <row r="10" customFormat="false" ht="13.8" hidden="false" customHeight="false" outlineLevel="0" collapsed="false">
      <c r="A10" s="7" t="s">
        <v>22</v>
      </c>
      <c r="B10" s="8" t="n">
        <f aca="false">35.99404+95.69693</f>
        <v>131.69097</v>
      </c>
      <c r="C10" s="9" t="n">
        <f aca="false">136560.18+363070.93</f>
        <v>499631.11</v>
      </c>
      <c r="D10" s="10" t="n">
        <v>365</v>
      </c>
      <c r="E10" s="9" t="n">
        <f aca="false">C10/D10</f>
        <v>1368.85235616438</v>
      </c>
      <c r="F10" s="9" t="n">
        <f aca="false">7173.3+19071.58</f>
        <v>26244.88</v>
      </c>
      <c r="G10" s="9" t="n">
        <f aca="false">E10+F10</f>
        <v>27613.7323561644</v>
      </c>
      <c r="H10" s="8" t="n">
        <f aca="false">G10/B10</f>
        <v>209.685845249408</v>
      </c>
      <c r="I10" s="9" t="n">
        <v>3263219</v>
      </c>
      <c r="J10" s="11" t="n">
        <f aca="false">G10/I10</f>
        <v>0.00846211435890891</v>
      </c>
      <c r="K10" s="12" t="n">
        <f aca="false">B10/I10</f>
        <v>4.03561544597528E-005</v>
      </c>
      <c r="L10" s="13" t="n">
        <f aca="false">B10*35.07</f>
        <v>4618.4023179</v>
      </c>
      <c r="M10" s="14" t="n">
        <f aca="false">G10/L10</f>
        <v>5.97906601794718</v>
      </c>
      <c r="N10" s="14" t="n">
        <f aca="false">F10/L10</f>
        <v>5.68267513167489</v>
      </c>
    </row>
    <row r="11" customFormat="false" ht="13.8" hidden="false" customHeight="false" outlineLevel="0" collapsed="false">
      <c r="A11" s="7" t="s">
        <v>23</v>
      </c>
      <c r="B11" s="8" t="n">
        <f aca="false">31.68024+84.2279</f>
        <v>115.90814</v>
      </c>
      <c r="C11" s="9" t="n">
        <f aca="false">120245.28+319694.79</f>
        <v>439940.07</v>
      </c>
      <c r="D11" s="10" t="n">
        <v>367.1</v>
      </c>
      <c r="E11" s="9" t="n">
        <f aca="false">C11/D11</f>
        <v>1198.4202397167</v>
      </c>
      <c r="F11" s="9" t="n">
        <f aca="false">6313.6+16785.9</f>
        <v>23099.5</v>
      </c>
      <c r="G11" s="9" t="n">
        <f aca="false">E11+F11</f>
        <v>24297.9202397167</v>
      </c>
      <c r="H11" s="8" t="n">
        <f aca="false">G11/B11</f>
        <v>209.630835588568</v>
      </c>
      <c r="I11" s="9" t="n">
        <v>2874751</v>
      </c>
      <c r="J11" s="11" t="n">
        <f aca="false">G11/I11</f>
        <v>0.00845218255066846</v>
      </c>
      <c r="K11" s="12" t="n">
        <f aca="false">B11/I11</f>
        <v>4.03193667903759E-005</v>
      </c>
      <c r="L11" s="13" t="n">
        <f aca="false">B11*35.07</f>
        <v>4064.8984698</v>
      </c>
      <c r="M11" s="14" t="n">
        <f aca="false">G11/L11</f>
        <v>5.97749745048668</v>
      </c>
      <c r="N11" s="14" t="n">
        <f aca="false">F11/L11</f>
        <v>5.68267575970638</v>
      </c>
    </row>
    <row r="12" customFormat="false" ht="13.8" hidden="false" customHeight="false" outlineLevel="0" collapsed="false">
      <c r="A12" s="7" t="s">
        <v>24</v>
      </c>
      <c r="B12" s="8" t="n">
        <f aca="false">66.881+25.155</f>
        <v>92.036</v>
      </c>
      <c r="C12" s="9" t="n">
        <f aca="false">95452.6+253778.76</f>
        <v>349231.36</v>
      </c>
      <c r="D12" s="10" t="n">
        <v>365.5</v>
      </c>
      <c r="E12" s="9" t="n">
        <f aca="false">C12/D12</f>
        <v>955.489357045144</v>
      </c>
      <c r="F12" s="9" t="n">
        <f aca="false">5013.27+13328.72</f>
        <v>18341.99</v>
      </c>
      <c r="G12" s="9" t="n">
        <f aca="false">E12+F12</f>
        <v>19297.4793570451</v>
      </c>
      <c r="H12" s="8" t="n">
        <f aca="false">G12/B12</f>
        <v>209.67316438182</v>
      </c>
      <c r="I12" s="9" t="n">
        <v>2692960</v>
      </c>
      <c r="J12" s="11" t="n">
        <f aca="false">G12/I12</f>
        <v>0.00716589899480317</v>
      </c>
      <c r="K12" s="12" t="n">
        <f aca="false">B12/I12</f>
        <v>3.41765195175569E-005</v>
      </c>
      <c r="L12" s="13" t="n">
        <f aca="false">B12*35.07</f>
        <v>3227.70252</v>
      </c>
      <c r="M12" s="14" t="n">
        <f aca="false">G12/L12</f>
        <v>5.97870443061932</v>
      </c>
      <c r="N12" s="14" t="n">
        <f aca="false">F12/L12</f>
        <v>5.68267672945275</v>
      </c>
    </row>
    <row r="13" customFormat="false" ht="13.8" hidden="false" customHeight="false" outlineLevel="0" collapsed="false">
      <c r="A13" s="7" t="s">
        <v>25</v>
      </c>
      <c r="B13" s="8" t="n">
        <f aca="false">64.091+24.106</f>
        <v>88.197</v>
      </c>
      <c r="C13" s="9" t="n">
        <f aca="false">251845+94725</f>
        <v>346570</v>
      </c>
      <c r="D13" s="10" t="n">
        <v>365.5</v>
      </c>
      <c r="E13" s="9" t="n">
        <f aca="false">C13/D13</f>
        <v>948.207934336525</v>
      </c>
      <c r="F13" s="9" t="n">
        <f aca="false">4804.18+12772.8</f>
        <v>17576.98</v>
      </c>
      <c r="G13" s="9" t="n">
        <f aca="false">E13+F13</f>
        <v>18525.1879343365</v>
      </c>
      <c r="H13" s="8" t="n">
        <f aca="false">G13/B13</f>
        <v>210.043288709781</v>
      </c>
      <c r="I13" s="9" t="n">
        <v>1379860</v>
      </c>
      <c r="J13" s="11" t="n">
        <f aca="false">G13/I13</f>
        <v>0.0134254112260204</v>
      </c>
      <c r="K13" s="12" t="n">
        <f aca="false">B13/I13</f>
        <v>6.39173539344571E-005</v>
      </c>
      <c r="L13" s="13" t="n">
        <f aca="false">B13*35.07</f>
        <v>3093.06879</v>
      </c>
      <c r="M13" s="14" t="n">
        <f aca="false">G13/L13</f>
        <v>5.9892583036721</v>
      </c>
      <c r="N13" s="14" t="n">
        <f aca="false">F13/L13</f>
        <v>5.68269934921169</v>
      </c>
    </row>
    <row r="14" customFormat="false" ht="13.8" hidden="false" customHeight="false" outlineLevel="0" collapsed="false">
      <c r="A14" s="7" t="s">
        <v>26</v>
      </c>
      <c r="B14" s="8" t="n">
        <v>25.907</v>
      </c>
      <c r="C14" s="9" t="n">
        <f aca="false">227816+85687</f>
        <v>313503</v>
      </c>
      <c r="D14" s="10" t="n">
        <v>790</v>
      </c>
      <c r="E14" s="9" t="n">
        <f aca="false">C14/D14</f>
        <v>396.839240506329</v>
      </c>
      <c r="F14" s="9" t="n">
        <f aca="false">5163.09+1941.97</f>
        <v>7105.06</v>
      </c>
      <c r="G14" s="9" t="n">
        <f aca="false">E14+F14</f>
        <v>7501.89924050633</v>
      </c>
      <c r="H14" s="8" t="n">
        <f aca="false">G14/B14</f>
        <v>289.570357065902</v>
      </c>
      <c r="I14" s="9" t="n">
        <v>1156484</v>
      </c>
      <c r="J14" s="11" t="n">
        <f aca="false">G14/I14</f>
        <v>0.00648681628151045</v>
      </c>
      <c r="K14" s="12" t="n">
        <f aca="false">B14/I14</f>
        <v>2.2401520470668E-005</v>
      </c>
      <c r="L14" s="13" t="n">
        <f aca="false">B14*35.07</f>
        <v>908.55849</v>
      </c>
      <c r="M14" s="14" t="n">
        <f aca="false">G14/L14</f>
        <v>8.25692492346456</v>
      </c>
      <c r="N14" s="14" t="n">
        <f aca="false">F14/L14</f>
        <v>7.82014595449986</v>
      </c>
    </row>
    <row r="15" customFormat="false" ht="13.8" hidden="false" customHeight="false" outlineLevel="0" collapsed="false">
      <c r="A15" s="15" t="s">
        <v>27</v>
      </c>
      <c r="B15" s="2"/>
      <c r="M15" s="3" t="s">
        <v>1</v>
      </c>
      <c r="N15" s="3" t="s">
        <v>2</v>
      </c>
    </row>
    <row r="16" customFormat="false" ht="13.8" hidden="false" customHeight="false" outlineLevel="0" collapsed="false">
      <c r="A16" s="16"/>
      <c r="B16" s="17" t="s">
        <v>3</v>
      </c>
      <c r="C16" s="17" t="s">
        <v>4</v>
      </c>
      <c r="D16" s="17" t="s">
        <v>5</v>
      </c>
      <c r="E16" s="17" t="s">
        <v>6</v>
      </c>
      <c r="F16" s="17" t="s">
        <v>7</v>
      </c>
      <c r="G16" s="17" t="s">
        <v>8</v>
      </c>
      <c r="H16" s="17" t="s">
        <v>9</v>
      </c>
      <c r="I16" s="17" t="s">
        <v>10</v>
      </c>
      <c r="J16" s="17" t="s">
        <v>11</v>
      </c>
      <c r="K16" s="17" t="s">
        <v>28</v>
      </c>
      <c r="L16" s="17" t="s">
        <v>13</v>
      </c>
      <c r="M16" s="17" t="s">
        <v>14</v>
      </c>
      <c r="N16" s="17" t="s">
        <v>14</v>
      </c>
    </row>
    <row r="17" customFormat="false" ht="13.8" hidden="false" customHeight="false" outlineLevel="0" collapsed="false">
      <c r="A17" s="18" t="s">
        <v>15</v>
      </c>
      <c r="B17" s="19" t="n">
        <f aca="false">52.781+19.852</f>
        <v>72.633</v>
      </c>
      <c r="C17" s="20" t="n">
        <f aca="false">475055.69+178680.48</f>
        <v>653736.17</v>
      </c>
      <c r="D17" s="21" t="n">
        <v>805.5</v>
      </c>
      <c r="E17" s="20" t="n">
        <f aca="false">C17/D17</f>
        <v>811.590527622595</v>
      </c>
      <c r="F17" s="20" t="n">
        <f aca="false">10518.72+3956.36+(241503.63/D17)</f>
        <v>14774.8982867784</v>
      </c>
      <c r="G17" s="20" t="n">
        <f aca="false">E17+F17</f>
        <v>15586.488814401</v>
      </c>
      <c r="H17" s="19" t="n">
        <f aca="false">G17/B17</f>
        <v>214.592386579117</v>
      </c>
      <c r="I17" s="20" t="n">
        <v>2215275</v>
      </c>
      <c r="J17" s="22" t="n">
        <f aca="false">G17/I17</f>
        <v>0.00703591599887192</v>
      </c>
      <c r="K17" s="23" t="n">
        <f aca="false">B17/I17</f>
        <v>3.2787351457494E-005</v>
      </c>
      <c r="L17" s="13" t="n">
        <f aca="false">B17*35.07</f>
        <v>2547.23931</v>
      </c>
      <c r="M17" s="14" t="n">
        <f aca="false">G17/L17</f>
        <v>6.11897309891979</v>
      </c>
      <c r="N17" s="14" t="n">
        <f aca="false">F17/L17</f>
        <v>5.80035736288099</v>
      </c>
    </row>
    <row r="18" customFormat="false" ht="13.8" hidden="false" customHeight="false" outlineLevel="0" collapsed="false">
      <c r="A18" s="18" t="s">
        <v>16</v>
      </c>
      <c r="B18" s="19" t="n">
        <f aca="false">22.768+60.532</f>
        <v>83.3</v>
      </c>
      <c r="C18" s="20" t="n">
        <f aca="false">208822.76+555194.65</f>
        <v>764017.41</v>
      </c>
      <c r="D18" s="21" t="n">
        <v>841.7</v>
      </c>
      <c r="E18" s="20" t="n">
        <f aca="false">C18/D18</f>
        <v>907.70750861352</v>
      </c>
      <c r="F18" s="20" t="n">
        <f aca="false">4537.42+12063.57</f>
        <v>16600.99</v>
      </c>
      <c r="G18" s="20" t="n">
        <f aca="false">E18+F18</f>
        <v>17508.6975086135</v>
      </c>
      <c r="H18" s="19" t="n">
        <f aca="false">G18/B18</f>
        <v>210.188445481555</v>
      </c>
      <c r="I18" s="20" t="n">
        <v>2969960</v>
      </c>
      <c r="J18" s="22" t="n">
        <f aca="false">G18/I18</f>
        <v>0.00589526374382602</v>
      </c>
      <c r="K18" s="23" t="n">
        <f aca="false">B18/I18</f>
        <v>2.80475157914585E-005</v>
      </c>
      <c r="L18" s="13" t="n">
        <f aca="false">B18*35.07</f>
        <v>2921.331</v>
      </c>
      <c r="M18" s="14" t="n">
        <f aca="false">G18/L18</f>
        <v>5.99339736189207</v>
      </c>
      <c r="N18" s="14" t="n">
        <f aca="false">F18/L18</f>
        <v>5.68268025773183</v>
      </c>
    </row>
    <row r="19" customFormat="false" ht="13.8" hidden="false" customHeight="false" outlineLevel="0" collapsed="false">
      <c r="A19" s="18" t="s">
        <v>17</v>
      </c>
      <c r="B19" s="19" t="n">
        <f aca="false">22.188+58.992</f>
        <v>81.18</v>
      </c>
      <c r="C19" s="20" t="n">
        <f aca="false">551619.31+207477.99</f>
        <v>759097.3</v>
      </c>
      <c r="D19" s="21" t="n">
        <v>858</v>
      </c>
      <c r="E19" s="20" t="n">
        <f aca="false">C19/D19</f>
        <v>884.728787878788</v>
      </c>
      <c r="F19" s="20" t="n">
        <f aca="false">11756.59+4421.95</f>
        <v>16178.54</v>
      </c>
      <c r="G19" s="20" t="n">
        <f aca="false">E19+F19</f>
        <v>17063.2687878788</v>
      </c>
      <c r="H19" s="19" t="n">
        <f aca="false">G19/B19</f>
        <v>210.19054924709</v>
      </c>
      <c r="I19" s="20" t="n">
        <v>1867230</v>
      </c>
      <c r="J19" s="22" t="n">
        <f aca="false">G19/I19</f>
        <v>0.00913827904857933</v>
      </c>
      <c r="K19" s="23" t="n">
        <f aca="false">B19/I19</f>
        <v>4.34761652287078E-005</v>
      </c>
      <c r="L19" s="13" t="n">
        <f aca="false">B19*35.07</f>
        <v>2846.9826</v>
      </c>
      <c r="M19" s="14" t="n">
        <f aca="false">G19/L19</f>
        <v>5.99345734950357</v>
      </c>
      <c r="N19" s="14" t="n">
        <f aca="false">F19/L19</f>
        <v>5.68269718262416</v>
      </c>
    </row>
    <row r="20" customFormat="false" ht="13.8" hidden="false" customHeight="false" outlineLevel="0" collapsed="false">
      <c r="A20" s="18" t="s">
        <v>18</v>
      </c>
      <c r="B20" s="8"/>
      <c r="C20" s="9"/>
      <c r="D20" s="10"/>
      <c r="E20" s="9"/>
      <c r="F20" s="9"/>
      <c r="G20" s="9"/>
      <c r="H20" s="8"/>
      <c r="I20" s="9"/>
      <c r="J20" s="11"/>
      <c r="K20" s="12"/>
      <c r="L20" s="24"/>
      <c r="M20" s="24"/>
      <c r="N20" s="24"/>
    </row>
    <row r="21" customFormat="false" ht="13.8" hidden="false" customHeight="false" outlineLevel="0" collapsed="false">
      <c r="A21" s="18" t="s">
        <v>19</v>
      </c>
      <c r="B21" s="8"/>
      <c r="C21" s="9"/>
      <c r="D21" s="10"/>
      <c r="E21" s="9"/>
      <c r="F21" s="9"/>
      <c r="G21" s="9"/>
      <c r="H21" s="8"/>
      <c r="I21" s="9"/>
      <c r="J21" s="11"/>
      <c r="K21" s="12"/>
      <c r="L21" s="24"/>
      <c r="M21" s="24"/>
      <c r="N21" s="24"/>
    </row>
    <row r="22" customFormat="false" ht="13.8" hidden="false" customHeight="false" outlineLevel="0" collapsed="false">
      <c r="A22" s="18" t="s">
        <v>20</v>
      </c>
      <c r="B22" s="8"/>
      <c r="C22" s="9"/>
      <c r="D22" s="10"/>
      <c r="E22" s="9"/>
      <c r="F22" s="9"/>
      <c r="G22" s="9"/>
      <c r="H22" s="8"/>
      <c r="I22" s="9"/>
      <c r="J22" s="11"/>
      <c r="K22" s="12"/>
      <c r="L22" s="24"/>
      <c r="M22" s="24"/>
      <c r="N22" s="24"/>
    </row>
    <row r="23" customFormat="false" ht="13.8" hidden="false" customHeight="false" outlineLevel="0" collapsed="false">
      <c r="A23" s="18" t="s">
        <v>21</v>
      </c>
      <c r="B23" s="8"/>
      <c r="C23" s="9"/>
      <c r="D23" s="10"/>
      <c r="E23" s="9"/>
      <c r="F23" s="9"/>
      <c r="G23" s="9"/>
      <c r="H23" s="8"/>
      <c r="I23" s="9"/>
      <c r="J23" s="11"/>
      <c r="K23" s="12"/>
      <c r="L23" s="24"/>
      <c r="M23" s="24"/>
      <c r="N23" s="24"/>
    </row>
    <row r="24" customFormat="false" ht="13.8" hidden="false" customHeight="false" outlineLevel="0" collapsed="false">
      <c r="A24" s="18" t="s">
        <v>22</v>
      </c>
      <c r="B24" s="8"/>
      <c r="C24" s="9"/>
      <c r="D24" s="10"/>
      <c r="E24" s="9"/>
      <c r="F24" s="9"/>
      <c r="G24" s="9"/>
      <c r="H24" s="8"/>
      <c r="I24" s="9"/>
      <c r="J24" s="11"/>
      <c r="K24" s="12"/>
      <c r="L24" s="24"/>
      <c r="M24" s="24"/>
      <c r="N24" s="24"/>
    </row>
    <row r="25" customFormat="false" ht="13.8" hidden="false" customHeight="false" outlineLevel="0" collapsed="false">
      <c r="A25" s="18" t="s">
        <v>23</v>
      </c>
      <c r="B25" s="8"/>
      <c r="C25" s="9"/>
      <c r="D25" s="10"/>
      <c r="E25" s="9"/>
      <c r="F25" s="9"/>
      <c r="G25" s="9"/>
      <c r="H25" s="8"/>
      <c r="I25" s="9"/>
      <c r="J25" s="11"/>
      <c r="K25" s="12"/>
      <c r="L25" s="24"/>
      <c r="M25" s="24"/>
      <c r="N25" s="24"/>
    </row>
    <row r="26" customFormat="false" ht="13.8" hidden="false" customHeight="false" outlineLevel="0" collapsed="false">
      <c r="A26" s="18" t="s">
        <v>24</v>
      </c>
      <c r="B26" s="8"/>
      <c r="C26" s="9"/>
      <c r="D26" s="10"/>
      <c r="E26" s="9"/>
      <c r="F26" s="9"/>
      <c r="G26" s="9"/>
      <c r="H26" s="8"/>
      <c r="I26" s="9"/>
      <c r="J26" s="11"/>
      <c r="K26" s="12"/>
      <c r="L26" s="24"/>
      <c r="M26" s="24"/>
      <c r="N26" s="24"/>
    </row>
    <row r="27" customFormat="false" ht="13.8" hidden="false" customHeight="false" outlineLevel="0" collapsed="false">
      <c r="A27" s="18" t="s">
        <v>25</v>
      </c>
      <c r="B27" s="8"/>
      <c r="C27" s="9"/>
      <c r="D27" s="10"/>
      <c r="E27" s="9"/>
      <c r="F27" s="9"/>
      <c r="G27" s="9"/>
      <c r="H27" s="8"/>
      <c r="I27" s="9"/>
      <c r="J27" s="11"/>
      <c r="K27" s="12"/>
      <c r="L27" s="24"/>
      <c r="M27" s="24"/>
      <c r="N27" s="24"/>
    </row>
    <row r="28" customFormat="false" ht="13.8" hidden="false" customHeight="false" outlineLevel="0" collapsed="false">
      <c r="A28" s="18" t="s">
        <v>26</v>
      </c>
      <c r="B28" s="8" t="n">
        <f aca="false">29.751+11.19</f>
        <v>40.941</v>
      </c>
      <c r="C28" s="9" t="n">
        <f aca="false">334318.18+125745.54</f>
        <v>460063.72</v>
      </c>
      <c r="D28" s="10" t="n">
        <v>1036.5</v>
      </c>
      <c r="E28" s="20" t="n">
        <f aca="false">C28/D28</f>
        <v>443.862730342499</v>
      </c>
      <c r="F28" s="20" t="n">
        <f aca="false">5929.14+((342249.2+103542.47)/1036.5)+2230</f>
        <v>8589.23326579836</v>
      </c>
      <c r="G28" s="20" t="n">
        <f aca="false">E28+F28</f>
        <v>9033.09599614086</v>
      </c>
      <c r="H28" s="19" t="n">
        <f aca="false">G28/B28</f>
        <v>220.636916444172</v>
      </c>
      <c r="I28" s="20" t="n">
        <v>1075433</v>
      </c>
      <c r="J28" s="22" t="n">
        <f aca="false">G28/I28</f>
        <v>0.00839949675725113</v>
      </c>
      <c r="K28" s="23" t="n">
        <f aca="false">B28/I28</f>
        <v>3.80693171959574E-005</v>
      </c>
      <c r="L28" s="13" t="n">
        <f aca="false">B28*35.07</f>
        <v>1435.80087</v>
      </c>
      <c r="M28" s="14" t="n">
        <f aca="false">G28/L28</f>
        <v>6.29132923992507</v>
      </c>
      <c r="N28" s="14" t="n">
        <f aca="false">F28/L28</f>
        <v>5.98218976270599</v>
      </c>
    </row>
    <row r="29" customFormat="false" ht="13.8" hidden="false" customHeight="false" outlineLevel="0" collapsed="false">
      <c r="A29" s="25" t="s">
        <v>29</v>
      </c>
      <c r="B29" s="2"/>
      <c r="M29" s="3" t="s">
        <v>1</v>
      </c>
      <c r="N29" s="3" t="s">
        <v>2</v>
      </c>
    </row>
    <row r="30" customFormat="false" ht="13.8" hidden="false" customHeight="false" outlineLevel="0" collapsed="false">
      <c r="A30" s="26"/>
      <c r="B30" s="27" t="s">
        <v>3</v>
      </c>
      <c r="C30" s="27" t="s">
        <v>4</v>
      </c>
      <c r="D30" s="27" t="s">
        <v>5</v>
      </c>
      <c r="E30" s="27" t="s">
        <v>6</v>
      </c>
      <c r="F30" s="27" t="s">
        <v>7</v>
      </c>
      <c r="G30" s="27" t="s">
        <v>8</v>
      </c>
      <c r="H30" s="27" t="s">
        <v>9</v>
      </c>
      <c r="I30" s="27" t="s">
        <v>30</v>
      </c>
      <c r="J30" s="28" t="s">
        <v>31</v>
      </c>
      <c r="K30" s="27" t="s">
        <v>28</v>
      </c>
      <c r="L30" s="27" t="s">
        <v>13</v>
      </c>
      <c r="M30" s="27" t="s">
        <v>14</v>
      </c>
      <c r="N30" s="27" t="s">
        <v>14</v>
      </c>
    </row>
    <row r="31" customFormat="false" ht="13.8" hidden="false" customHeight="false" outlineLevel="0" collapsed="false">
      <c r="A31" s="29" t="s">
        <v>15</v>
      </c>
      <c r="B31" s="19" t="n">
        <f aca="false">48.823+18.36</f>
        <v>67.183</v>
      </c>
      <c r="C31" s="30" t="n">
        <f aca="false">559213.74+210334</f>
        <v>769547.74</v>
      </c>
      <c r="D31" s="31" t="n">
        <v>1074</v>
      </c>
      <c r="E31" s="32" t="n">
        <f aca="false">C31/D31</f>
        <v>716.524897579143</v>
      </c>
      <c r="F31" s="30" t="n">
        <f aca="false">9729.92+(254877.72/1056.5)+3660</f>
        <v>13631.1672503549</v>
      </c>
      <c r="G31" s="33" t="n">
        <f aca="false">E31+F31</f>
        <v>14347.6921479341</v>
      </c>
      <c r="H31" s="34" t="n">
        <f aca="false">G31/B31</f>
        <v>213.561349566618</v>
      </c>
      <c r="I31" s="20" t="n">
        <v>615394</v>
      </c>
      <c r="J31" s="35" t="n">
        <f aca="false">G31/I31</f>
        <v>0.023314644192069</v>
      </c>
      <c r="K31" s="36" t="n">
        <f aca="false">B31/I31</f>
        <v>0.00010917071014667</v>
      </c>
      <c r="L31" s="37" t="n">
        <f aca="false">B31*35.07</f>
        <v>2356.10781</v>
      </c>
      <c r="M31" s="38" t="n">
        <f aca="false">G31/L31</f>
        <v>6.08957369736578</v>
      </c>
      <c r="N31" s="38" t="n">
        <f aca="false">F31/L31</f>
        <v>5.78545989809989</v>
      </c>
    </row>
    <row r="32" customFormat="false" ht="13.8" hidden="false" customHeight="false" outlineLevel="0" collapsed="false">
      <c r="A32" s="29" t="s">
        <v>16</v>
      </c>
      <c r="B32" s="19" t="n">
        <f aca="false">50.177+18.87</f>
        <v>69.047</v>
      </c>
      <c r="C32" s="30" t="n">
        <f aca="false">580480.08+218333</f>
        <v>798813.08</v>
      </c>
      <c r="D32" s="31" t="n">
        <v>1084</v>
      </c>
      <c r="E32" s="32" t="n">
        <f aca="false">C32/D32</f>
        <v>736.912435424354</v>
      </c>
      <c r="F32" s="30" t="n">
        <f aca="false">9999.94+3761</f>
        <v>13760.94</v>
      </c>
      <c r="G32" s="33" t="n">
        <f aca="false">E32+F32</f>
        <v>14497.8524354244</v>
      </c>
      <c r="H32" s="34" t="n">
        <f aca="false">G32/B32</f>
        <v>209.970779837275</v>
      </c>
      <c r="I32" s="20" t="n">
        <v>549630</v>
      </c>
      <c r="J32" s="35" t="n">
        <f aca="false">G32/I32</f>
        <v>0.0263774765486315</v>
      </c>
      <c r="K32" s="36" t="n">
        <f aca="false">B32/I32</f>
        <v>0.000125624511034696</v>
      </c>
      <c r="L32" s="37" t="n">
        <f aca="false">B32*35.07</f>
        <v>2421.47829</v>
      </c>
      <c r="M32" s="38" t="n">
        <f aca="false">G32/L32</f>
        <v>5.98719075669448</v>
      </c>
      <c r="N32" s="38" t="n">
        <f aca="false">F32/L32</f>
        <v>5.68286738593886</v>
      </c>
    </row>
    <row r="33" customFormat="false" ht="13.8" hidden="false" customHeight="false" outlineLevel="0" collapsed="false">
      <c r="A33" s="29" t="s">
        <v>17</v>
      </c>
      <c r="B33" s="34" t="n">
        <f aca="false">20.597+54.762</f>
        <v>75.359</v>
      </c>
      <c r="C33" s="32" t="n">
        <f aca="false">240330.71+638964.43</f>
        <v>879295.14</v>
      </c>
      <c r="D33" s="39" t="n">
        <v>1094</v>
      </c>
      <c r="E33" s="32" t="n">
        <f aca="false">C33/D33</f>
        <v>803.743272394881</v>
      </c>
      <c r="F33" s="30" t="n">
        <f aca="false">4105.26+10913.51</f>
        <v>15018.77</v>
      </c>
      <c r="G33" s="33" t="n">
        <f aca="false">E33+F33</f>
        <v>15822.5132723949</v>
      </c>
      <c r="H33" s="34" t="n">
        <f aca="false">G33/B33</f>
        <v>209.961826356439</v>
      </c>
      <c r="I33" s="20" t="n">
        <v>571590</v>
      </c>
      <c r="J33" s="35" t="n">
        <f aca="false">G33/I33</f>
        <v>0.027681578180855</v>
      </c>
      <c r="K33" s="36" t="n">
        <f aca="false">B33/I33</f>
        <v>0.000131841004916111</v>
      </c>
      <c r="L33" s="37" t="n">
        <f aca="false">B33*35.07</f>
        <v>2642.84013</v>
      </c>
      <c r="M33" s="38" t="n">
        <f aca="false">G33/L33</f>
        <v>5.98693545356256</v>
      </c>
      <c r="N33" s="38" t="n">
        <f aca="false">F33/L33</f>
        <v>5.68281441980374</v>
      </c>
    </row>
    <row r="34" customFormat="false" ht="13.8" hidden="false" customHeight="false" outlineLevel="0" collapsed="false">
      <c r="A34" s="29" t="s">
        <v>18</v>
      </c>
      <c r="B34" s="8" t="n">
        <f aca="false">69.742+26.232</f>
        <v>95.974</v>
      </c>
      <c r="C34" s="40" t="n">
        <f aca="false">349425+929012</f>
        <v>1278437</v>
      </c>
      <c r="D34" s="39" t="n">
        <v>1114</v>
      </c>
      <c r="E34" s="32" t="n">
        <f aca="false">C34/D34</f>
        <v>1147.60951526032</v>
      </c>
      <c r="F34" s="30" t="n">
        <f aca="false">13899+5228</f>
        <v>19127</v>
      </c>
      <c r="G34" s="33" t="n">
        <f aca="false">E34+F34</f>
        <v>20274.6095152603</v>
      </c>
      <c r="H34" s="34" t="n">
        <f aca="false">G34/B34</f>
        <v>211.251062946843</v>
      </c>
      <c r="I34" s="20" t="n">
        <v>1805204</v>
      </c>
      <c r="J34" s="35" t="n">
        <f aca="false">G34/I34</f>
        <v>0.0112312013020469</v>
      </c>
      <c r="K34" s="36" t="n">
        <f aca="false">B34/I34</f>
        <v>5.31651824392146E-005</v>
      </c>
      <c r="L34" s="37" t="n">
        <f aca="false">B34*35.07</f>
        <v>3365.80818</v>
      </c>
      <c r="M34" s="38" t="n">
        <f aca="false">G34/L34</f>
        <v>6.02369726110189</v>
      </c>
      <c r="N34" s="38" t="n">
        <f aca="false">F34/L34</f>
        <v>5.68273620393899</v>
      </c>
    </row>
    <row r="35" customFormat="false" ht="13.8" hidden="false" customHeight="false" outlineLevel="0" collapsed="false">
      <c r="A35" s="29" t="s">
        <v>19</v>
      </c>
      <c r="B35" s="8" t="n">
        <f aca="false">30.848+82.94</f>
        <v>113.788</v>
      </c>
      <c r="C35" s="40" t="n">
        <f aca="false">438388.39+1165538.05</f>
        <v>1603926.44</v>
      </c>
      <c r="D35" s="41" t="n">
        <v>1188.5</v>
      </c>
      <c r="E35" s="32" t="n">
        <f aca="false">C35/D35</f>
        <v>1349.53844341607</v>
      </c>
      <c r="F35" s="30" t="n">
        <f aca="false">16344.66+6147.64</f>
        <v>22492.3</v>
      </c>
      <c r="G35" s="33" t="n">
        <f aca="false">E35+F35</f>
        <v>23841.8384434161</v>
      </c>
      <c r="H35" s="34" t="n">
        <f aca="false">G35/B35</f>
        <v>209.528583360425</v>
      </c>
      <c r="I35" s="20" t="n">
        <v>2818877</v>
      </c>
      <c r="J35" s="35" t="n">
        <f aca="false">G35/I35</f>
        <v>0.00845792081152036</v>
      </c>
      <c r="K35" s="36" t="n">
        <f aca="false">B35/I35</f>
        <v>4.03664296100894E-005</v>
      </c>
      <c r="L35" s="37" t="n">
        <f aca="false">B35*35.07</f>
        <v>3990.54516</v>
      </c>
      <c r="M35" s="38" t="n">
        <f aca="false">G35/L35</f>
        <v>5.97458178957586</v>
      </c>
      <c r="N35" s="38" t="n">
        <f aca="false">F35/L35</f>
        <v>5.63639780986716</v>
      </c>
    </row>
    <row r="36" customFormat="false" ht="13.8" hidden="false" customHeight="false" outlineLevel="0" collapsed="false">
      <c r="A36" s="29" t="s">
        <v>20</v>
      </c>
      <c r="B36" s="8" t="n">
        <f aca="false">78.557+29.547</f>
        <v>108.104</v>
      </c>
      <c r="C36" s="9" t="n">
        <f aca="false">1218167.82+458183.78</f>
        <v>1676351.6</v>
      </c>
      <c r="D36" s="10" t="n">
        <v>1213</v>
      </c>
      <c r="E36" s="32" t="n">
        <f aca="false">C36/D36</f>
        <v>1381.98812860676</v>
      </c>
      <c r="F36" s="30" t="n">
        <f aca="false">15655.67+5888.49</f>
        <v>21544.16</v>
      </c>
      <c r="G36" s="33" t="n">
        <f aca="false">E36+F36</f>
        <v>22926.1481286068</v>
      </c>
      <c r="H36" s="34" t="n">
        <f aca="false">G36/B36</f>
        <v>212.074929036916</v>
      </c>
      <c r="I36" s="20" t="n">
        <v>2804727</v>
      </c>
      <c r="J36" s="35" t="n">
        <f aca="false">G36/I36</f>
        <v>0.00817411039598747</v>
      </c>
      <c r="K36" s="36" t="n">
        <f aca="false">B36/I36</f>
        <v>3.85435017383154E-005</v>
      </c>
      <c r="L36" s="37" t="n">
        <f aca="false">B36*35.07</f>
        <v>3791.20728</v>
      </c>
      <c r="M36" s="38" t="n">
        <f aca="false">G36/L36</f>
        <v>6.04718930815272</v>
      </c>
      <c r="N36" s="38" t="n">
        <f aca="false">F36/L36</f>
        <v>5.68266475791321</v>
      </c>
    </row>
    <row r="37" customFormat="false" ht="13.8" hidden="false" customHeight="false" outlineLevel="0" collapsed="false">
      <c r="A37" s="29" t="s">
        <v>21</v>
      </c>
      <c r="B37" s="8" t="n">
        <f aca="false">25.47+67.716</f>
        <v>93.186</v>
      </c>
      <c r="C37" s="9" t="n">
        <f aca="false">427330+1136139.41</f>
        <v>1563469.41</v>
      </c>
      <c r="D37" s="10" t="n">
        <v>1360</v>
      </c>
      <c r="E37" s="32" t="n">
        <f aca="false">C37/D37</f>
        <v>1149.60986029412</v>
      </c>
      <c r="F37" s="30" t="n">
        <f aca="false">5076.41+13495.22</f>
        <v>18571.63</v>
      </c>
      <c r="G37" s="33" t="n">
        <f aca="false">E37+F37</f>
        <v>19721.2398602941</v>
      </c>
      <c r="H37" s="34" t="n">
        <f aca="false">G37/B37</f>
        <v>211.633076430946</v>
      </c>
      <c r="I37" s="20" t="n">
        <v>3024982</v>
      </c>
      <c r="J37" s="35" t="n">
        <f aca="false">G37/I37</f>
        <v>0.00651945692909714</v>
      </c>
      <c r="K37" s="36" t="n">
        <f aca="false">B37/I37</f>
        <v>3.08054725614896E-005</v>
      </c>
      <c r="L37" s="37" t="n">
        <f aca="false">B37*35.07</f>
        <v>3268.03302</v>
      </c>
      <c r="M37" s="38" t="n">
        <f aca="false">G37/L37</f>
        <v>6.03459014630584</v>
      </c>
      <c r="N37" s="38" t="n">
        <f aca="false">F37/L37</f>
        <v>5.68281589761905</v>
      </c>
    </row>
    <row r="38" customFormat="false" ht="13.8" hidden="false" customHeight="false" outlineLevel="0" collapsed="false">
      <c r="A38" s="29" t="s">
        <v>22</v>
      </c>
      <c r="B38" s="8" t="n">
        <f aca="false">66.765+25.112</f>
        <v>91.877</v>
      </c>
      <c r="C38" s="9" t="n">
        <f aca="false">1243937.52+465399.13</f>
        <v>1709336.65</v>
      </c>
      <c r="D38" s="10" t="n">
        <v>1409</v>
      </c>
      <c r="E38" s="9" t="n">
        <f aca="false">C38/D38</f>
        <v>1213.15589070263</v>
      </c>
      <c r="F38" s="9" t="n">
        <f aca="false">5005.11+13305.71</f>
        <v>18310.82</v>
      </c>
      <c r="G38" s="33" t="n">
        <f aca="false">E38+F38</f>
        <v>19523.9758907026</v>
      </c>
      <c r="H38" s="34" t="n">
        <f aca="false">G38/B38</f>
        <v>212.501234157652</v>
      </c>
      <c r="I38" s="20" t="n">
        <v>3040436</v>
      </c>
      <c r="J38" s="35" t="n">
        <f aca="false">G38/I38</f>
        <v>0.00642143952074723</v>
      </c>
      <c r="K38" s="36" t="n">
        <f aca="false">B38/I38</f>
        <v>3.02183634189307E-005</v>
      </c>
      <c r="L38" s="37" t="n">
        <f aca="false">B38*35.07</f>
        <v>3222.12639</v>
      </c>
      <c r="M38" s="38" t="n">
        <f aca="false">G38/L38</f>
        <v>6.0593451427902</v>
      </c>
      <c r="N38" s="38" t="n">
        <f aca="false">F38/L38</f>
        <v>5.68283728932185</v>
      </c>
    </row>
    <row r="39" customFormat="false" ht="13.8" hidden="false" customHeight="false" outlineLevel="0" collapsed="false">
      <c r="A39" s="29" t="s">
        <v>23</v>
      </c>
      <c r="B39" s="8" t="n">
        <f aca="false">25.092+66.712</f>
        <v>91.804</v>
      </c>
      <c r="C39" s="9" t="n">
        <f aca="false">1292821+486262.79</f>
        <v>1779083.79</v>
      </c>
      <c r="D39" s="10" t="n">
        <v>1430</v>
      </c>
      <c r="E39" s="9" t="n">
        <f aca="false">C39/D39</f>
        <v>1244.11453846154</v>
      </c>
      <c r="F39" s="9" t="n">
        <f aca="false">5000.85+13295.16</f>
        <v>18296.01</v>
      </c>
      <c r="G39" s="33" t="n">
        <f aca="false">E39+F39</f>
        <v>19540.1245384615</v>
      </c>
      <c r="H39" s="34" t="n">
        <f aca="false">G39/B39</f>
        <v>212.846112788784</v>
      </c>
      <c r="I39" s="20" t="n">
        <v>2896236</v>
      </c>
      <c r="J39" s="35" t="n">
        <f aca="false">G39/I39</f>
        <v>0.00674673077002756</v>
      </c>
      <c r="K39" s="36" t="n">
        <f aca="false">B39/I39</f>
        <v>3.16976931437908E-005</v>
      </c>
      <c r="L39" s="37" t="n">
        <f aca="false">B39*35.07</f>
        <v>3219.56628</v>
      </c>
      <c r="M39" s="38" t="n">
        <f aca="false">G39/L39</f>
        <v>6.06917914995107</v>
      </c>
      <c r="N39" s="38" t="n">
        <f aca="false">F39/L39</f>
        <v>5.68275612577232</v>
      </c>
    </row>
    <row r="40" customFormat="false" ht="13.8" hidden="false" customHeight="false" outlineLevel="0" collapsed="false">
      <c r="A40" s="29" t="s">
        <v>24</v>
      </c>
      <c r="B40" s="8" t="n">
        <f aca="false">63.125+23.743</f>
        <v>86.868</v>
      </c>
      <c r="C40" s="9" t="n">
        <f aca="false">1243431.03+467685.9</f>
        <v>1711116.93</v>
      </c>
      <c r="D40" s="10" t="n">
        <v>1412</v>
      </c>
      <c r="E40" s="9" t="n">
        <f aca="false">C40/D40</f>
        <v>1211.83918555241</v>
      </c>
      <c r="F40" s="9" t="n">
        <f aca="false">5000.85+13295.16</f>
        <v>18296.01</v>
      </c>
      <c r="G40" s="33" t="n">
        <f aca="false">E40+F40</f>
        <v>19507.8491855524</v>
      </c>
      <c r="H40" s="34" t="n">
        <f aca="false">G40/B40</f>
        <v>224.568876750385</v>
      </c>
      <c r="I40" s="20" t="n">
        <v>2715838</v>
      </c>
      <c r="J40" s="35" t="n">
        <f aca="false">G40/I40</f>
        <v>0.00718299441481871</v>
      </c>
      <c r="K40" s="36" t="n">
        <f aca="false">B40/I40</f>
        <v>3.19857075422024E-005</v>
      </c>
      <c r="L40" s="37" t="n">
        <f aca="false">B40*35.07</f>
        <v>3046.46076</v>
      </c>
      <c r="M40" s="38" t="n">
        <f aca="false">G40/L40</f>
        <v>6.40344672798359</v>
      </c>
      <c r="N40" s="38" t="n">
        <f aca="false">F40/L40</f>
        <v>6.0056608114657</v>
      </c>
    </row>
    <row r="41" customFormat="false" ht="13.8" hidden="false" customHeight="false" outlineLevel="0" collapsed="false">
      <c r="A41" s="29" t="s">
        <v>25</v>
      </c>
      <c r="B41" s="8" t="n">
        <f aca="false">23.352+62.087</f>
        <v>85.439</v>
      </c>
      <c r="C41" s="9" t="n">
        <f aca="false">1278417+480485</f>
        <v>1758902</v>
      </c>
      <c r="D41" s="10" t="n">
        <v>1435</v>
      </c>
      <c r="E41" s="9" t="n">
        <f aca="false">C41/D41</f>
        <v>1225.71567944251</v>
      </c>
      <c r="F41" s="9" t="n">
        <f aca="false">12373.38+4653.94</f>
        <v>17027.32</v>
      </c>
      <c r="G41" s="33" t="n">
        <f aca="false">E41+F41</f>
        <v>18253.0356794425</v>
      </c>
      <c r="H41" s="34" t="n">
        <f aca="false">G41/B41</f>
        <v>213.638217669244</v>
      </c>
      <c r="I41" s="9" t="n">
        <v>1933070</v>
      </c>
      <c r="J41" s="35" t="n">
        <f aca="false">G41/I41</f>
        <v>0.00944251148662103</v>
      </c>
      <c r="K41" s="36" t="n">
        <f aca="false">B41/I41</f>
        <v>4.4198606361901E-005</v>
      </c>
      <c r="L41" s="37" t="n">
        <f aca="false">B41*35.07</f>
        <v>2996.34573</v>
      </c>
      <c r="M41" s="38" t="n">
        <f aca="false">G41/L41</f>
        <v>6.09176554517376</v>
      </c>
      <c r="N41" s="38" t="n">
        <f aca="false">F41/L41</f>
        <v>5.68269536773382</v>
      </c>
    </row>
    <row r="42" customFormat="false" ht="13.8" hidden="false" customHeight="false" outlineLevel="0" collapsed="false">
      <c r="A42" s="29" t="s">
        <v>26</v>
      </c>
      <c r="B42" s="8" t="n">
        <f aca="false">15.629+41.552</f>
        <v>57.181</v>
      </c>
      <c r="C42" s="9" t="n">
        <f aca="false">341988.2+909239.98</f>
        <v>1251228.18</v>
      </c>
      <c r="D42" s="10" t="n">
        <v>1464</v>
      </c>
      <c r="E42" s="9" t="n">
        <f aca="false">C42/D42</f>
        <v>854.664057377049</v>
      </c>
      <c r="F42" s="9" t="n">
        <f aca="false">8280.87+3114.65</f>
        <v>11395.52</v>
      </c>
      <c r="G42" s="33" t="n">
        <f aca="false">E42+F42</f>
        <v>12250.1840573771</v>
      </c>
      <c r="H42" s="34" t="n">
        <f aca="false">G42/B42</f>
        <v>214.235218995419</v>
      </c>
      <c r="I42" s="9" t="n">
        <f aca="false">1094280+321269</f>
        <v>1415549</v>
      </c>
      <c r="J42" s="35" t="n">
        <f aca="false">G42/I42</f>
        <v>0.00865401625615012</v>
      </c>
      <c r="K42" s="36" t="n">
        <f aca="false">B42/I42</f>
        <v>4.03949280455851E-005</v>
      </c>
      <c r="L42" s="37" t="n">
        <f aca="false">B42*35.07</f>
        <v>2005.33767</v>
      </c>
      <c r="M42" s="38" t="n">
        <f aca="false">G42/L42</f>
        <v>6.10878867965266</v>
      </c>
      <c r="N42" s="38" t="n">
        <f aca="false">F42/L42</f>
        <v>5.68259409399116</v>
      </c>
    </row>
    <row r="43" customFormat="false" ht="13.8" hidden="false" customHeight="false" outlineLevel="0" collapsed="false">
      <c r="A43" s="25" t="s">
        <v>32</v>
      </c>
      <c r="B43" s="2"/>
      <c r="I43" s="42" t="s">
        <v>33</v>
      </c>
      <c r="M43" s="3" t="s">
        <v>1</v>
      </c>
      <c r="N43" s="3" t="s">
        <v>2</v>
      </c>
    </row>
    <row r="44" customFormat="false" ht="13.8" hidden="false" customHeight="false" outlineLevel="0" collapsed="false">
      <c r="A44" s="26"/>
      <c r="B44" s="27" t="s">
        <v>3</v>
      </c>
      <c r="C44" s="27" t="s">
        <v>4</v>
      </c>
      <c r="D44" s="27" t="s">
        <v>5</v>
      </c>
      <c r="E44" s="27" t="s">
        <v>6</v>
      </c>
      <c r="F44" s="27" t="s">
        <v>7</v>
      </c>
      <c r="G44" s="27" t="s">
        <v>8</v>
      </c>
      <c r="H44" s="27" t="s">
        <v>9</v>
      </c>
      <c r="I44" s="27" t="s">
        <v>30</v>
      </c>
      <c r="J44" s="28" t="s">
        <v>31</v>
      </c>
      <c r="K44" s="27" t="s">
        <v>28</v>
      </c>
      <c r="L44" s="27" t="s">
        <v>13</v>
      </c>
      <c r="M44" s="27" t="s">
        <v>14</v>
      </c>
      <c r="N44" s="27" t="s">
        <v>14</v>
      </c>
    </row>
    <row r="45" customFormat="false" ht="13.8" hidden="false" customHeight="false" outlineLevel="0" collapsed="false">
      <c r="A45" s="29" t="s">
        <v>15</v>
      </c>
      <c r="B45" s="19" t="n">
        <f aca="false">43.665+16.424</f>
        <v>60.089</v>
      </c>
      <c r="C45" s="30" t="n">
        <f aca="false">941133.8+353984.25</f>
        <v>1295118.05</v>
      </c>
      <c r="D45" s="31" t="n">
        <v>1470</v>
      </c>
      <c r="E45" s="32" t="n">
        <f aca="false">C45/D45</f>
        <v>881.03268707483</v>
      </c>
      <c r="F45" s="30" t="n">
        <f aca="false">8702.12+3273.09</f>
        <v>11975.21</v>
      </c>
      <c r="G45" s="33" t="n">
        <f aca="false">E45+F45</f>
        <v>12856.2426870748</v>
      </c>
      <c r="H45" s="34" t="n">
        <f aca="false">G45/B45</f>
        <v>213.95334731939</v>
      </c>
      <c r="I45" s="20" t="n">
        <f aca="false">931160+262742</f>
        <v>1193902</v>
      </c>
      <c r="J45" s="35" t="n">
        <f aca="false">G45/I45</f>
        <v>0.0107682562614644</v>
      </c>
      <c r="K45" s="36" t="n">
        <f aca="false">B45/I45</f>
        <v>5.03299265768882E-005</v>
      </c>
      <c r="L45" s="37" t="n">
        <f aca="false">B45*35.07</f>
        <v>2107.32123</v>
      </c>
      <c r="M45" s="38" t="n">
        <f aca="false">G45/L45</f>
        <v>6.10075127799801</v>
      </c>
      <c r="N45" s="38" t="n">
        <f aca="false">F45/L45</f>
        <v>5.68266946183615</v>
      </c>
    </row>
    <row r="46" customFormat="false" ht="13.8" hidden="false" customHeight="false" outlineLevel="0" collapsed="false">
      <c r="A46" s="29" t="s">
        <v>16</v>
      </c>
      <c r="B46" s="19" t="n">
        <f aca="false">82336.02/1000</f>
        <v>82.33602</v>
      </c>
      <c r="C46" s="30" t="n">
        <f aca="false">476295.69+2496269.08</f>
        <v>2972564.77</v>
      </c>
      <c r="D46" s="31" t="n">
        <v>1425</v>
      </c>
      <c r="E46" s="32" t="n">
        <f aca="false">C46/D46</f>
        <v>2086.01036491228</v>
      </c>
      <c r="F46" s="30" t="n">
        <f aca="false">4484.89+11923.93</f>
        <v>16408.82</v>
      </c>
      <c r="G46" s="33" t="n">
        <f aca="false">E46+F46</f>
        <v>18494.8303649123</v>
      </c>
      <c r="H46" s="34" t="n">
        <f aca="false">G46/B46</f>
        <v>224.626237276374</v>
      </c>
      <c r="I46" s="20" t="n">
        <v>1331328</v>
      </c>
      <c r="J46" s="35" t="n">
        <f aca="false">G46/I46</f>
        <v>0.0138920163662991</v>
      </c>
      <c r="K46" s="36" t="n">
        <f aca="false">B46/I46</f>
        <v>6.18450299250072E-005</v>
      </c>
      <c r="L46" s="37" t="n">
        <f aca="false">B46*35.07</f>
        <v>2887.5242214</v>
      </c>
      <c r="M46" s="38" t="n">
        <f aca="false">G46/L46</f>
        <v>6.40508232895278</v>
      </c>
      <c r="N46" s="38" t="n">
        <f aca="false">F46/L46</f>
        <v>5.68266055688505</v>
      </c>
    </row>
    <row r="47" customFormat="false" ht="13.8" hidden="false" customHeight="false" outlineLevel="0" collapsed="false">
      <c r="A47" s="29" t="s">
        <v>17</v>
      </c>
      <c r="B47" s="34" t="n">
        <f aca="false">84.199+31.669</f>
        <v>115.868</v>
      </c>
      <c r="C47" s="32" t="n">
        <f aca="false">670271.13+1782042.03</f>
        <v>2452313.16</v>
      </c>
      <c r="D47" s="39" t="n">
        <v>1387.5</v>
      </c>
      <c r="E47" s="32" t="n">
        <f aca="false">C47/D47</f>
        <v>1767.43290810811</v>
      </c>
      <c r="F47" s="30" t="n">
        <f aca="false">6311.4+16780.06</f>
        <v>23091.46</v>
      </c>
      <c r="G47" s="33" t="n">
        <f aca="false">E47+F47</f>
        <v>24858.8929081081</v>
      </c>
      <c r="H47" s="34" t="n">
        <f aca="false">G47/B47</f>
        <v>214.544938275521</v>
      </c>
      <c r="I47" s="20" t="n">
        <v>1788182</v>
      </c>
      <c r="J47" s="35" t="n">
        <f aca="false">G47/I47</f>
        <v>0.0139017688960677</v>
      </c>
      <c r="K47" s="36" t="n">
        <f aca="false">B47/I47</f>
        <v>6.47965363704589E-005</v>
      </c>
      <c r="L47" s="37" t="n">
        <f aca="false">B47*35.07</f>
        <v>4063.49076</v>
      </c>
      <c r="M47" s="38" t="n">
        <f aca="false">G47/L47</f>
        <v>6.11762013902257</v>
      </c>
      <c r="N47" s="38" t="n">
        <f aca="false">F47/L47</f>
        <v>5.68266580726764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2026-06-15T15:54:32Z</dcterms:modified>
  <cp:revision>1</cp:revision>
  <dc:subject/>
  <dc:title/>
</cp:coreProperties>
</file>