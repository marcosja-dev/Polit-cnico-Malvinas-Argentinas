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2.10.15\Datos RGA\Luis Brunori\"/>
    </mc:Choice>
  </mc:AlternateContent>
  <xr:revisionPtr revIDLastSave="0" documentId="13_ncr:1_{0F9EEB23-C39E-4F27-B13D-E8F147E39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8" r:id="rId1"/>
    <sheet name="datos 23" sheetId="1" r:id="rId2"/>
    <sheet name="graficos 23" sheetId="2" r:id="rId3"/>
    <sheet name="datos 24" sheetId="3" r:id="rId4"/>
    <sheet name="graficos 24" sheetId="4" r:id="rId5"/>
    <sheet name="datos 25" sheetId="7" r:id="rId6"/>
    <sheet name="graficos 25" sheetId="6" r:id="rId7"/>
    <sheet name="datos 26" sheetId="9" r:id="rId8"/>
    <sheet name="graficos 26" sheetId="10" r:id="rId9"/>
    <sheet name="precios" sheetId="5" r:id="rId10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" i="3" l="1"/>
  <c r="F32" i="8"/>
  <c r="F31" i="8"/>
  <c r="F30" i="8"/>
  <c r="E41" i="8"/>
  <c r="D41" i="8"/>
  <c r="E40" i="8"/>
  <c r="E39" i="8"/>
  <c r="E38" i="8"/>
  <c r="E37" i="8"/>
  <c r="E36" i="8"/>
  <c r="E35" i="8"/>
  <c r="E34" i="8"/>
  <c r="E33" i="8"/>
  <c r="E32" i="8"/>
  <c r="D32" i="8"/>
  <c r="E31" i="8"/>
  <c r="D31" i="8"/>
  <c r="E30" i="8"/>
  <c r="D30" i="8"/>
  <c r="C41" i="8"/>
  <c r="C40" i="8"/>
  <c r="C39" i="8"/>
  <c r="C38" i="8"/>
  <c r="C37" i="8"/>
  <c r="C36" i="8"/>
  <c r="C35" i="8"/>
  <c r="C34" i="8"/>
  <c r="C33" i="8"/>
  <c r="C32" i="8"/>
  <c r="C31" i="8"/>
  <c r="C30" i="8"/>
  <c r="C40" i="10"/>
  <c r="F27" i="9" l="1"/>
  <c r="E27" i="9"/>
  <c r="D27" i="9"/>
  <c r="C27" i="9"/>
  <c r="H27" i="9" s="1"/>
  <c r="L7" i="9"/>
  <c r="K7" i="9"/>
  <c r="G27" i="9" s="1"/>
  <c r="I7" i="9"/>
  <c r="G7" i="9"/>
  <c r="D7" i="9"/>
  <c r="C7" i="9"/>
  <c r="I26" i="9"/>
  <c r="I25" i="9"/>
  <c r="H26" i="9"/>
  <c r="H25" i="9"/>
  <c r="I27" i="9" l="1"/>
  <c r="C39" i="10"/>
  <c r="C22" i="10"/>
  <c r="C5" i="10"/>
  <c r="D8" i="8" l="1"/>
  <c r="D7" i="8"/>
  <c r="K7" i="8"/>
  <c r="K8" i="8"/>
  <c r="G6" i="9"/>
  <c r="D6" i="9"/>
  <c r="F26" i="9" l="1"/>
  <c r="C26" i="9"/>
  <c r="C6" i="9"/>
  <c r="L6" i="9"/>
  <c r="N19" i="1" l="1"/>
  <c r="M18" i="1"/>
  <c r="M16" i="1"/>
  <c r="O16" i="1" s="1"/>
  <c r="M15" i="1"/>
  <c r="O15" i="1" s="1"/>
  <c r="O14" i="1"/>
  <c r="N14" i="1"/>
  <c r="M14" i="1"/>
  <c r="M13" i="1"/>
  <c r="O13" i="1" s="1"/>
  <c r="M12" i="1"/>
  <c r="O12" i="1" s="1"/>
  <c r="O11" i="1"/>
  <c r="M11" i="1"/>
  <c r="N11" i="1" s="1"/>
  <c r="M10" i="1"/>
  <c r="O10" i="1" s="1"/>
  <c r="M9" i="1"/>
  <c r="O9" i="1" s="1"/>
  <c r="M8" i="1"/>
  <c r="O8" i="1" s="1"/>
  <c r="M7" i="1"/>
  <c r="O7" i="1" s="1"/>
  <c r="O6" i="1"/>
  <c r="N6" i="1"/>
  <c r="M6" i="1"/>
  <c r="M5" i="1"/>
  <c r="O5" i="1" s="1"/>
  <c r="C38" i="10"/>
  <c r="C21" i="10"/>
  <c r="C4" i="10"/>
  <c r="J5" i="9"/>
  <c r="N9" i="1" l="1"/>
  <c r="N12" i="1"/>
  <c r="N7" i="1"/>
  <c r="N15" i="1"/>
  <c r="N10" i="1"/>
  <c r="N13" i="1"/>
  <c r="N8" i="1"/>
  <c r="N16" i="1"/>
  <c r="N5" i="1"/>
  <c r="G5" i="9"/>
  <c r="D5" i="9"/>
  <c r="C5" i="9"/>
  <c r="F25" i="9"/>
  <c r="J18" i="9"/>
  <c r="M16" i="9"/>
  <c r="M11" i="9"/>
  <c r="M10" i="9"/>
  <c r="C18" i="9"/>
  <c r="M18" i="9" s="1"/>
  <c r="F7" i="9"/>
  <c r="H7" i="9" s="1"/>
  <c r="M7" i="9"/>
  <c r="O7" i="9" s="1"/>
  <c r="F6" i="9"/>
  <c r="H6" i="9" s="1"/>
  <c r="D26" i="9" s="1"/>
  <c r="L5" i="9"/>
  <c r="F5" i="9"/>
  <c r="C25" i="9"/>
  <c r="C15" i="6"/>
  <c r="M32" i="6"/>
  <c r="C32" i="6"/>
  <c r="C49" i="6"/>
  <c r="F36" i="7"/>
  <c r="G36" i="7"/>
  <c r="E36" i="7"/>
  <c r="D36" i="7"/>
  <c r="C36" i="7"/>
  <c r="J16" i="7"/>
  <c r="L16" i="7" s="1"/>
  <c r="M16" i="7"/>
  <c r="O16" i="7" s="1"/>
  <c r="K16" i="7"/>
  <c r="H16" i="7"/>
  <c r="I16" i="7" s="1"/>
  <c r="G16" i="7"/>
  <c r="F16" i="7"/>
  <c r="D16" i="7"/>
  <c r="C16" i="7"/>
  <c r="C14" i="6"/>
  <c r="C48" i="6"/>
  <c r="C31" i="6"/>
  <c r="M31" i="6"/>
  <c r="G15" i="7"/>
  <c r="E35" i="7"/>
  <c r="D35" i="7"/>
  <c r="C35" i="7"/>
  <c r="M15" i="7"/>
  <c r="O15" i="7" s="1"/>
  <c r="L15" i="7"/>
  <c r="K15" i="7"/>
  <c r="G35" i="7" s="1"/>
  <c r="F15" i="7"/>
  <c r="H15" i="7" s="1"/>
  <c r="I15" i="7" s="1"/>
  <c r="D15" i="7"/>
  <c r="C15" i="7"/>
  <c r="C13" i="6"/>
  <c r="M30" i="6"/>
  <c r="C30" i="6"/>
  <c r="E34" i="7"/>
  <c r="D34" i="7"/>
  <c r="C34" i="7"/>
  <c r="I6" i="9" l="1"/>
  <c r="E26" i="9" s="1"/>
  <c r="K6" i="9"/>
  <c r="G26" i="9" s="1"/>
  <c r="N7" i="9"/>
  <c r="H5" i="9"/>
  <c r="F18" i="9"/>
  <c r="M12" i="9"/>
  <c r="M6" i="9"/>
  <c r="O6" i="9" s="1"/>
  <c r="M14" i="9"/>
  <c r="C19" i="9"/>
  <c r="C17" i="10" s="1"/>
  <c r="M9" i="9"/>
  <c r="M15" i="9"/>
  <c r="G18" i="9"/>
  <c r="O19" i="9" s="1"/>
  <c r="M5" i="9"/>
  <c r="O5" i="9" s="1"/>
  <c r="M13" i="9"/>
  <c r="M8" i="9"/>
  <c r="N16" i="7"/>
  <c r="N15" i="7"/>
  <c r="M14" i="7"/>
  <c r="O14" i="7" s="1"/>
  <c r="L14" i="7"/>
  <c r="K14" i="7"/>
  <c r="I14" i="7"/>
  <c r="G14" i="7"/>
  <c r="H14" i="7" s="1"/>
  <c r="F14" i="7"/>
  <c r="D14" i="7"/>
  <c r="C14" i="7"/>
  <c r="M29" i="6"/>
  <c r="M28" i="6"/>
  <c r="C29" i="6"/>
  <c r="C28" i="6"/>
  <c r="C12" i="6"/>
  <c r="C11" i="6"/>
  <c r="E33" i="7"/>
  <c r="D33" i="7"/>
  <c r="C33" i="7"/>
  <c r="H13" i="7"/>
  <c r="L19" i="9" l="1"/>
  <c r="H18" i="9"/>
  <c r="N19" i="9" s="1"/>
  <c r="N5" i="9"/>
  <c r="K5" i="9"/>
  <c r="H19" i="9"/>
  <c r="D25" i="9"/>
  <c r="I5" i="9"/>
  <c r="N6" i="9"/>
  <c r="C47" i="6"/>
  <c r="G34" i="7"/>
  <c r="N14" i="7"/>
  <c r="M13" i="7"/>
  <c r="O13" i="7" s="1"/>
  <c r="L13" i="7"/>
  <c r="K13" i="7"/>
  <c r="I13" i="7"/>
  <c r="G13" i="7"/>
  <c r="F13" i="7"/>
  <c r="D13" i="7"/>
  <c r="C13" i="7"/>
  <c r="O9" i="8" l="1"/>
  <c r="I19" i="9"/>
  <c r="E25" i="9"/>
  <c r="G25" i="9"/>
  <c r="K19" i="9"/>
  <c r="C46" i="6"/>
  <c r="G33" i="7"/>
  <c r="N13" i="7"/>
  <c r="E32" i="7"/>
  <c r="D32" i="7"/>
  <c r="C32" i="7"/>
  <c r="E37" i="9" l="1"/>
  <c r="C9" i="8"/>
  <c r="D9" i="8" s="1"/>
  <c r="C34" i="10"/>
  <c r="G37" i="9"/>
  <c r="J9" i="8"/>
  <c r="K9" i="8" s="1"/>
  <c r="C51" i="10"/>
  <c r="M12" i="7"/>
  <c r="O12" i="7" s="1"/>
  <c r="L12" i="7"/>
  <c r="K12" i="7"/>
  <c r="I12" i="7"/>
  <c r="H12" i="7"/>
  <c r="G12" i="7"/>
  <c r="F12" i="7"/>
  <c r="D12" i="7"/>
  <c r="C12" i="7"/>
  <c r="M27" i="6"/>
  <c r="C27" i="6"/>
  <c r="C10" i="6"/>
  <c r="D31" i="7"/>
  <c r="C31" i="7"/>
  <c r="G11" i="7"/>
  <c r="M11" i="7"/>
  <c r="L11" i="7"/>
  <c r="O11" i="7"/>
  <c r="F11" i="7"/>
  <c r="H11" i="7" s="1"/>
  <c r="D11" i="7"/>
  <c r="C11" i="7"/>
  <c r="C45" i="6" l="1"/>
  <c r="G32" i="7"/>
  <c r="N12" i="7"/>
  <c r="N11" i="7"/>
  <c r="I11" i="7"/>
  <c r="E31" i="7" s="1"/>
  <c r="K11" i="7"/>
  <c r="M26" i="6"/>
  <c r="C26" i="6"/>
  <c r="C9" i="6"/>
  <c r="D30" i="7"/>
  <c r="D29" i="7"/>
  <c r="D28" i="7"/>
  <c r="D27" i="7"/>
  <c r="D26" i="7"/>
  <c r="C30" i="7"/>
  <c r="C29" i="7"/>
  <c r="C28" i="7"/>
  <c r="F30" i="7"/>
  <c r="E30" i="7"/>
  <c r="C27" i="7"/>
  <c r="C26" i="7"/>
  <c r="C25" i="7"/>
  <c r="G10" i="7"/>
  <c r="D10" i="7"/>
  <c r="F10" i="7" s="1"/>
  <c r="C10" i="7"/>
  <c r="L10" i="7" s="1"/>
  <c r="F29" i="7"/>
  <c r="E29" i="7"/>
  <c r="F28" i="7"/>
  <c r="E28" i="7"/>
  <c r="F27" i="7"/>
  <c r="E27" i="7"/>
  <c r="F26" i="7"/>
  <c r="E26" i="7"/>
  <c r="F25" i="7"/>
  <c r="E25" i="7"/>
  <c r="D25" i="7"/>
  <c r="O7" i="8"/>
  <c r="O6" i="8"/>
  <c r="J7" i="8"/>
  <c r="J6" i="8"/>
  <c r="C7" i="8"/>
  <c r="C6" i="8"/>
  <c r="M25" i="6"/>
  <c r="C25" i="6"/>
  <c r="C8" i="6"/>
  <c r="G31" i="7" l="1"/>
  <c r="C44" i="6"/>
  <c r="M10" i="7"/>
  <c r="O10" i="7" s="1"/>
  <c r="H10" i="7"/>
  <c r="G9" i="7"/>
  <c r="M9" i="7"/>
  <c r="O9" i="7" s="1"/>
  <c r="L9" i="7"/>
  <c r="F9" i="7"/>
  <c r="H9" i="7" s="1"/>
  <c r="I9" i="7" s="1"/>
  <c r="D9" i="7"/>
  <c r="C9" i="7"/>
  <c r="M24" i="6"/>
  <c r="C24" i="6"/>
  <c r="C7" i="6"/>
  <c r="G8" i="7"/>
  <c r="D8" i="7"/>
  <c r="F8" i="7" s="1"/>
  <c r="H8" i="7" s="1"/>
  <c r="O8" i="7"/>
  <c r="M8" i="7"/>
  <c r="L8" i="7"/>
  <c r="C8" i="7"/>
  <c r="M23" i="6"/>
  <c r="M22" i="6"/>
  <c r="M21" i="6"/>
  <c r="C23" i="6"/>
  <c r="C22" i="6"/>
  <c r="C21" i="6"/>
  <c r="C6" i="6"/>
  <c r="C5" i="6"/>
  <c r="C4" i="6"/>
  <c r="G7" i="7"/>
  <c r="O7" i="7" s="1"/>
  <c r="M7" i="7"/>
  <c r="L7" i="7"/>
  <c r="F7" i="7"/>
  <c r="H7" i="7" s="1"/>
  <c r="N10" i="7" l="1"/>
  <c r="K10" i="7"/>
  <c r="I10" i="7"/>
  <c r="K9" i="7"/>
  <c r="N9" i="7"/>
  <c r="I8" i="7"/>
  <c r="K8" i="7"/>
  <c r="N8" i="7"/>
  <c r="N7" i="7"/>
  <c r="K7" i="7"/>
  <c r="I7" i="7"/>
  <c r="G29" i="7" l="1"/>
  <c r="C42" i="6"/>
  <c r="G28" i="7"/>
  <c r="C41" i="6"/>
  <c r="G27" i="7"/>
  <c r="C40" i="6"/>
  <c r="G30" i="7"/>
  <c r="C43" i="6"/>
  <c r="D7" i="7"/>
  <c r="C7" i="7"/>
  <c r="G6" i="7"/>
  <c r="G18" i="7" s="1"/>
  <c r="G5" i="7"/>
  <c r="D6" i="7"/>
  <c r="F6" i="7" s="1"/>
  <c r="D5" i="7"/>
  <c r="C6" i="7"/>
  <c r="M6" i="7" s="1"/>
  <c r="C5" i="7"/>
  <c r="M5" i="7" s="1"/>
  <c r="G16" i="3"/>
  <c r="D16" i="3"/>
  <c r="C16" i="3"/>
  <c r="M16" i="3"/>
  <c r="L16" i="3"/>
  <c r="F16" i="3"/>
  <c r="H16" i="3" s="1"/>
  <c r="F5" i="7"/>
  <c r="H6" i="7" l="1"/>
  <c r="K6" i="7" s="1"/>
  <c r="O6" i="7"/>
  <c r="L6" i="7"/>
  <c r="C18" i="7"/>
  <c r="M18" i="7" s="1"/>
  <c r="O19" i="7" s="1"/>
  <c r="L5" i="7"/>
  <c r="O16" i="3"/>
  <c r="I16" i="3"/>
  <c r="K16" i="3"/>
  <c r="N16" i="3"/>
  <c r="J18" i="7"/>
  <c r="C19" i="7" s="1"/>
  <c r="C17" i="6" s="1"/>
  <c r="O5" i="7"/>
  <c r="H5" i="7"/>
  <c r="I5" i="7" s="1"/>
  <c r="F18" i="7"/>
  <c r="D33" i="5"/>
  <c r="D16" i="5"/>
  <c r="D29" i="5"/>
  <c r="G26" i="7" l="1"/>
  <c r="C39" i="6"/>
  <c r="N6" i="7"/>
  <c r="I6" i="7"/>
  <c r="I19" i="7" s="1"/>
  <c r="E37" i="7" s="1"/>
  <c r="L19" i="7"/>
  <c r="K5" i="7"/>
  <c r="H18" i="7"/>
  <c r="N19" i="7" s="1"/>
  <c r="M34" i="6" s="1"/>
  <c r="H19" i="7"/>
  <c r="N5" i="7"/>
  <c r="G7" i="3"/>
  <c r="D7" i="3"/>
  <c r="F7" i="3" s="1"/>
  <c r="H7" i="3" s="1"/>
  <c r="C7" i="3"/>
  <c r="K19" i="7" l="1"/>
  <c r="G37" i="7" s="1"/>
  <c r="G25" i="7"/>
  <c r="C38" i="6"/>
  <c r="O8" i="8"/>
  <c r="C34" i="6"/>
  <c r="C8" i="8"/>
  <c r="I7" i="3"/>
  <c r="C23" i="4" s="1"/>
  <c r="M7" i="3"/>
  <c r="N7" i="3" s="1"/>
  <c r="M23" i="4" s="1"/>
  <c r="C6" i="4"/>
  <c r="L7" i="3"/>
  <c r="K7" i="3"/>
  <c r="C40" i="4" s="1"/>
  <c r="J8" i="8" l="1"/>
  <c r="C51" i="6"/>
  <c r="O7" i="3"/>
  <c r="G6" i="3"/>
  <c r="D6" i="3"/>
  <c r="C6" i="3"/>
  <c r="M6" i="3" l="1"/>
  <c r="C5" i="4"/>
  <c r="O6" i="3"/>
  <c r="L6" i="3"/>
  <c r="G5" i="3" l="1"/>
  <c r="D5" i="3"/>
  <c r="C5" i="3"/>
  <c r="M5" i="3" s="1"/>
  <c r="O5" i="3" l="1"/>
  <c r="C4" i="4"/>
  <c r="J18" i="3"/>
  <c r="C19" i="3" s="1"/>
  <c r="C17" i="4" s="1"/>
  <c r="G18" i="3"/>
  <c r="F6" i="3"/>
  <c r="H6" i="3" s="1"/>
  <c r="N6" i="3" s="1"/>
  <c r="M22" i="4" s="1"/>
  <c r="F5" i="3"/>
  <c r="C18" i="3"/>
  <c r="O19" i="3" l="1"/>
  <c r="I6" i="3"/>
  <c r="C22" i="4" s="1"/>
  <c r="K6" i="3"/>
  <c r="C39" i="4" s="1"/>
  <c r="H5" i="3"/>
  <c r="N5" i="3" s="1"/>
  <c r="M21" i="4" s="1"/>
  <c r="F18" i="3"/>
  <c r="L5" i="3"/>
  <c r="L19" i="3" s="1"/>
  <c r="C16" i="2"/>
  <c r="D16" i="1"/>
  <c r="F16" i="1" s="1"/>
  <c r="L16" i="1"/>
  <c r="G16" i="1"/>
  <c r="H16" i="1" l="1"/>
  <c r="K16" i="1" s="1"/>
  <c r="C50" i="2" s="1"/>
  <c r="H19" i="3"/>
  <c r="H18" i="3"/>
  <c r="N19" i="3" s="1"/>
  <c r="M34" i="4" s="1"/>
  <c r="K5" i="3"/>
  <c r="I5" i="3"/>
  <c r="I16" i="1"/>
  <c r="C33" i="2" s="1"/>
  <c r="C15" i="1"/>
  <c r="C15" i="2"/>
  <c r="G15" i="1"/>
  <c r="D15" i="1"/>
  <c r="L15" i="1"/>
  <c r="F15" i="1"/>
  <c r="H15" i="1" l="1"/>
  <c r="I19" i="3"/>
  <c r="C34" i="4" s="1"/>
  <c r="C21" i="4"/>
  <c r="K19" i="3"/>
  <c r="C51" i="4" s="1"/>
  <c r="C38" i="4"/>
  <c r="K15" i="1"/>
  <c r="C49" i="2" s="1"/>
  <c r="I15" i="1"/>
  <c r="C32" i="2" s="1"/>
  <c r="J18" i="1" l="1"/>
  <c r="G14" i="1" l="1"/>
  <c r="G13" i="1"/>
  <c r="G12" i="1"/>
  <c r="G11" i="1"/>
  <c r="G10" i="1"/>
  <c r="G9" i="1"/>
  <c r="G8" i="1"/>
  <c r="G7" i="1"/>
  <c r="G6" i="1"/>
  <c r="G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C18" i="1" s="1"/>
  <c r="G18" i="1" l="1"/>
  <c r="F14" i="1"/>
  <c r="H14" i="1" l="1"/>
  <c r="I14" i="1" s="1"/>
  <c r="K14" i="1" l="1"/>
  <c r="C48" i="2" s="1"/>
  <c r="C12" i="2"/>
  <c r="C13" i="2"/>
  <c r="L14" i="1" l="1"/>
  <c r="C14" i="2" l="1"/>
  <c r="L13" i="1" l="1"/>
  <c r="C11" i="2" l="1"/>
  <c r="C10" i="2"/>
  <c r="C9" i="2"/>
  <c r="C8" i="2"/>
  <c r="C7" i="2"/>
  <c r="C6" i="2"/>
  <c r="C5" i="2"/>
  <c r="C18" i="2" l="1"/>
  <c r="L12" i="1"/>
  <c r="L11" i="1"/>
  <c r="L10" i="1"/>
  <c r="L9" i="1"/>
  <c r="L8" i="1"/>
  <c r="L7" i="1"/>
  <c r="L6" i="1"/>
  <c r="L5" i="1"/>
  <c r="L19" i="1" s="1"/>
  <c r="F13" i="1" l="1"/>
  <c r="H13" i="1" s="1"/>
  <c r="F12" i="1"/>
  <c r="H12" i="1" s="1"/>
  <c r="I13" i="1" l="1"/>
  <c r="K13" i="1"/>
  <c r="K12" i="1"/>
  <c r="C46" i="2" s="1"/>
  <c r="I12" i="1"/>
  <c r="C29" i="2" s="1"/>
  <c r="C31" i="2"/>
  <c r="C47" i="2" l="1"/>
  <c r="C30" i="2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F18" i="1" l="1"/>
  <c r="H5" i="1"/>
  <c r="H19" i="1" s="1"/>
  <c r="I7" i="1"/>
  <c r="C24" i="2" s="1"/>
  <c r="K7" i="1"/>
  <c r="C41" i="2" s="1"/>
  <c r="K6" i="1"/>
  <c r="I6" i="1"/>
  <c r="C23" i="2" s="1"/>
  <c r="K5" i="1"/>
  <c r="C40" i="2"/>
  <c r="H18" i="1" l="1"/>
  <c r="I5" i="1"/>
  <c r="I11" i="1"/>
  <c r="C28" i="2" s="1"/>
  <c r="K11" i="1"/>
  <c r="C45" i="2" s="1"/>
  <c r="I10" i="1"/>
  <c r="C27" i="2" s="1"/>
  <c r="K10" i="1"/>
  <c r="C44" i="2" s="1"/>
  <c r="K9" i="1"/>
  <c r="C43" i="2" s="1"/>
  <c r="I9" i="1"/>
  <c r="C26" i="2" s="1"/>
  <c r="K8" i="1"/>
  <c r="C42" i="2" s="1"/>
  <c r="I8" i="1"/>
  <c r="C25" i="2" s="1"/>
  <c r="C39" i="2"/>
  <c r="C22" i="2"/>
  <c r="I19" i="1" l="1"/>
  <c r="K19" i="1"/>
  <c r="C52" i="2"/>
  <c r="C35" i="2"/>
</calcChain>
</file>

<file path=xl/sharedStrings.xml><?xml version="1.0" encoding="utf-8"?>
<sst xmlns="http://schemas.openxmlformats.org/spreadsheetml/2006/main" count="450" uniqueCount="64">
  <si>
    <t>enero</t>
  </si>
  <si>
    <t>febrero</t>
  </si>
  <si>
    <t>marzo</t>
  </si>
  <si>
    <t>abril</t>
  </si>
  <si>
    <t>mayo</t>
  </si>
  <si>
    <t>junio</t>
  </si>
  <si>
    <t>julio</t>
  </si>
  <si>
    <t>U$S</t>
  </si>
  <si>
    <t>$ x U$S</t>
  </si>
  <si>
    <t>lts- kg</t>
  </si>
  <si>
    <t>U$S / lt-kg</t>
  </si>
  <si>
    <t>promedio</t>
  </si>
  <si>
    <t>agosto</t>
  </si>
  <si>
    <t>septiembre</t>
  </si>
  <si>
    <t>octubre</t>
  </si>
  <si>
    <t>noviembre</t>
  </si>
  <si>
    <t>diciembre</t>
  </si>
  <si>
    <t>total</t>
  </si>
  <si>
    <t>promedio ponderado</t>
  </si>
  <si>
    <t>GAS 2023</t>
  </si>
  <si>
    <t>costo gas por unidad consumida</t>
  </si>
  <si>
    <t>costo unitario de gas por unidad producida</t>
  </si>
  <si>
    <t>$ fondo</t>
  </si>
  <si>
    <t>U$S fact</t>
  </si>
  <si>
    <t>U$S fondo</t>
  </si>
  <si>
    <t>U$S / lt- kg</t>
  </si>
  <si>
    <t>GAS 2024</t>
  </si>
  <si>
    <t>MBTU</t>
  </si>
  <si>
    <t>U$S/MBTU</t>
  </si>
  <si>
    <t>con fondo</t>
  </si>
  <si>
    <t>sin fondo</t>
  </si>
  <si>
    <t>mm3</t>
  </si>
  <si>
    <t>U$S / mm3</t>
  </si>
  <si>
    <t>mm3/lt-kg</t>
  </si>
  <si>
    <t xml:space="preserve">noviembre </t>
  </si>
  <si>
    <t>VALORES INTERNACIONALES DE GAS NATURAL PARA NEGOCIOS</t>
  </si>
  <si>
    <t>fuente : The Wall Street Journal - World Bank</t>
  </si>
  <si>
    <t>U$S / MBTU</t>
  </si>
  <si>
    <t>VALORES ARGENTINA DE GAS NATURAL INDUSTRIAS</t>
  </si>
  <si>
    <t>TdF</t>
  </si>
  <si>
    <t>fuente : Dirección Nacional de la Economia de Hidrocarburos - Res 1/2018</t>
  </si>
  <si>
    <t>U$S /mm3</t>
  </si>
  <si>
    <t>mm3 / lt-kg</t>
  </si>
  <si>
    <t>GAS 2025</t>
  </si>
  <si>
    <t>consumo gas 2023</t>
  </si>
  <si>
    <t>consumo gas 2024</t>
  </si>
  <si>
    <t>consumo gas 2025</t>
  </si>
  <si>
    <t>U$S / lt-kg-udad</t>
  </si>
  <si>
    <t>U$S /lt-kg</t>
  </si>
  <si>
    <t>GAS NATURAL</t>
  </si>
  <si>
    <t>COMPARATIVA</t>
  </si>
  <si>
    <t>U$S/mm3</t>
  </si>
  <si>
    <t xml:space="preserve">promedio ponderado </t>
  </si>
  <si>
    <t>lts- kg-udad</t>
  </si>
  <si>
    <t>lts- kg- udad</t>
  </si>
  <si>
    <t>GAS 2026</t>
  </si>
  <si>
    <t>consumo gas 2026</t>
  </si>
  <si>
    <t xml:space="preserve">promedio anual </t>
  </si>
  <si>
    <t>sin datos</t>
  </si>
  <si>
    <t>2025</t>
  </si>
  <si>
    <t>mes calendario</t>
  </si>
  <si>
    <t>%</t>
  </si>
  <si>
    <t>enero-marzo 2026</t>
  </si>
  <si>
    <t>consumo mm3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</si>
</sst>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000"/>
    <numFmt numFmtId="166" formatCode="0.000"/>
    <numFmt numFmtId="167" formatCode="0.00000"/>
    <numFmt numFmtId="168" formatCode="#,##0.0"/>
    <numFmt numFmtId="169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/>
    <xf numFmtId="0" fontId="1" fillId="0" borderId="0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/>
    <xf numFmtId="165" fontId="0" fillId="0" borderId="0" xfId="0" applyNumberFormat="1"/>
    <xf numFmtId="164" fontId="6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ill="1" applyBorder="1"/>
    <xf numFmtId="0" fontId="1" fillId="0" borderId="0" xfId="0" applyFont="1" applyFill="1" applyBorder="1"/>
    <xf numFmtId="3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3" fontId="1" fillId="0" borderId="0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165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4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14" fontId="0" fillId="0" borderId="0" xfId="0" applyNumberFormat="1"/>
    <xf numFmtId="3" fontId="0" fillId="0" borderId="0" xfId="0" applyNumberFormat="1"/>
    <xf numFmtId="0" fontId="5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3" fontId="5" fillId="0" borderId="0" xfId="0" applyNumberFormat="1" applyFont="1" applyAlignment="1"/>
    <xf numFmtId="3" fontId="0" fillId="0" borderId="0" xfId="0" applyNumberFormat="1" applyAlignment="1"/>
    <xf numFmtId="0" fontId="0" fillId="0" borderId="0" xfId="0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8" fillId="0" borderId="0" xfId="0" applyFont="1"/>
    <xf numFmtId="0" fontId="9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center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1" xfId="0" applyBorder="1"/>
    <xf numFmtId="0" fontId="11" fillId="0" borderId="0" xfId="0" applyFont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 applyAlignment="1">
      <alignment horizontal="center"/>
    </xf>
    <xf numFmtId="17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/>
    </xf>
    <xf numFmtId="4" fontId="12" fillId="0" borderId="1" xfId="0" applyNumberFormat="1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9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9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13" fillId="0" borderId="0" xfId="0" applyFont="1"/>
    <xf numFmtId="3" fontId="14" fillId="0" borderId="1" xfId="0" applyNumberFormat="1" applyFont="1" applyBorder="1" applyAlignment="1">
      <alignment horizontal="center"/>
    </xf>
    <xf numFmtId="4" fontId="14" fillId="0" borderId="1" xfId="0" applyNumberFormat="1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169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right"/>
    </xf>
    <xf numFmtId="164" fontId="17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3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3" fontId="14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65" fontId="0" fillId="0" borderId="0" xfId="0" quotePrefix="1" applyNumberFormat="1" applyAlignment="1">
      <alignment horizontal="center"/>
    </xf>
    <xf numFmtId="0" fontId="19" fillId="0" borderId="0" xfId="0" applyFont="1"/>
    <xf numFmtId="0" fontId="12" fillId="0" borderId="0" xfId="0" applyFont="1"/>
    <xf numFmtId="167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3" fontId="14" fillId="0" borderId="0" xfId="0" applyNumberFormat="1" applyFont="1" applyFill="1" applyBorder="1" applyAlignment="1">
      <alignment horizontal="center"/>
    </xf>
    <xf numFmtId="4" fontId="14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167" fontId="14" fillId="0" borderId="0" xfId="0" applyNumberFormat="1" applyFont="1" applyFill="1" applyBorder="1" applyAlignment="1">
      <alignment horizontal="center"/>
    </xf>
    <xf numFmtId="169" fontId="4" fillId="0" borderId="0" xfId="0" applyNumberFormat="1" applyFont="1" applyBorder="1" applyAlignment="1">
      <alignment horizontal="center"/>
    </xf>
    <xf numFmtId="2" fontId="1" fillId="0" borderId="0" xfId="0" applyNumberFormat="1" applyFont="1"/>
    <xf numFmtId="165" fontId="1" fillId="0" borderId="0" xfId="0" applyNumberFormat="1" applyFont="1"/>
    <xf numFmtId="0" fontId="0" fillId="0" borderId="0" xfId="0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17" fontId="0" fillId="0" borderId="0" xfId="0" quotePrefix="1" applyNumberFormat="1" applyAlignment="1">
      <alignment horizontal="center"/>
    </xf>
    <xf numFmtId="17" fontId="0" fillId="0" borderId="0" xfId="0" applyNumberFormat="1" applyAlignment="1">
      <alignment horizontal="center"/>
    </xf>
    <xf numFmtId="0" fontId="11" fillId="0" borderId="0" xfId="0" applyFont="1"/>
    <xf numFmtId="0" fontId="21" fillId="0" borderId="0" xfId="0" applyFont="1" applyAlignment="1">
      <alignment horizontal="center"/>
    </xf>
    <xf numFmtId="16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resumen!$C$5</c:f>
              <c:strCache>
                <c:ptCount val="1"/>
                <c:pt idx="0">
                  <c:v>U$S/mm3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resumen!$B$6:$B$9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resumen!$C$6:$C$9</c:f>
              <c:numCache>
                <c:formatCode>0.00</c:formatCode>
                <c:ptCount val="4"/>
                <c:pt idx="0">
                  <c:v>196.55574167338011</c:v>
                </c:pt>
                <c:pt idx="1">
                  <c:v>182.7469164654826</c:v>
                </c:pt>
                <c:pt idx="2">
                  <c:v>201.94029319806694</c:v>
                </c:pt>
                <c:pt idx="3">
                  <c:v>217.62092510318402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1-4EEC-8DE6-C034CCA1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60511"/>
        <c:axId val="52658431"/>
      </c:barChart>
      <c:catAx>
        <c:axId val="5266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658431"/>
        <c:crosses val="autoZero"/>
        <c:auto val="1"/>
        <c:lblAlgn val="ctr"/>
        <c:lblOffset val="100"/>
        <c:noMultiLvlLbl val="0"/>
      </c:catAx>
      <c:valAx>
        <c:axId val="526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66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resumen!$J$5</c:f>
              <c:strCache>
                <c:ptCount val="1"/>
                <c:pt idx="0">
                  <c:v>U$S /lt-kg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resumen!$I$6:$I$9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enero-marzo 2026</c:v>
                </c:pt>
              </c:strCache>
            </c:strRef>
          </c:cat>
          <c:val>
            <c:numRef>
              <c:f>resumen!$J$6:$J$9</c:f>
              <c:numCache>
                <c:formatCode>0.0000</c:formatCode>
                <c:ptCount val="4"/>
                <c:pt idx="0">
                  <c:v>7.8545588909725936E-3</c:v>
                </c:pt>
                <c:pt idx="1">
                  <c:v>7.2825164768349892E-3</c:v>
                </c:pt>
                <c:pt idx="2">
                  <c:v>9.1150512518105714E-3</c:v>
                </c:pt>
                <c:pt idx="3">
                  <c:v>1.3031439139153694E-2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0-42E8-9E6E-70AAA384A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907567"/>
        <c:axId val="486917967"/>
      </c:barChart>
      <c:catAx>
        <c:axId val="4869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6917967"/>
        <c:crosses val="autoZero"/>
        <c:auto val="1"/>
        <c:lblAlgn val="ctr"/>
        <c:lblOffset val="100"/>
        <c:noMultiLvlLbl val="0"/>
      </c:catAx>
      <c:valAx>
        <c:axId val="4869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8690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resumen!$O$5</c:f>
              <c:strCache>
                <c:ptCount val="1"/>
                <c:pt idx="0">
                  <c:v>mm3 / lt-kg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resumen!$N$6:$N$9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resumen!$O$6:$O$9</c:f>
              <c:numCache>
                <c:formatCode>0.00000</c:formatCode>
                <c:ptCount val="4"/>
                <c:pt idx="0">
                  <c:v>3.3562057313467186E-5</c:v>
                </c:pt>
                <c:pt idx="1">
                  <c:v>3.4209828912715191E-5</c:v>
                </c:pt>
                <c:pt idx="2">
                  <c:v>3.8965037891602356E-5</c:v>
                </c:pt>
                <c:pt idx="3">
                  <c:v>5.9881370015199109E-5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B-4684-AA08-DDA383BC7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32623"/>
        <c:axId val="171531791"/>
      </c:barChart>
      <c:catAx>
        <c:axId val="1715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531791"/>
        <c:crosses val="autoZero"/>
        <c:auto val="1"/>
        <c:lblAlgn val="ctr"/>
        <c:lblOffset val="100"/>
        <c:noMultiLvlLbl val="0"/>
      </c:catAx>
      <c:valAx>
        <c:axId val="17153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53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natural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resumen!$C$29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resumen!$B$30:$B$41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resumen!$C$30:$C$41</c:f>
              <c:numCache>
                <c:formatCode>#,##0.00</c:formatCode>
                <c:ptCount val="12"/>
                <c:pt idx="0">
                  <c:v>43.383830000000003</c:v>
                </c:pt>
                <c:pt idx="1">
                  <c:v>74.466030000000003</c:v>
                </c:pt>
                <c:pt idx="2">
                  <c:v>101.79547000000001</c:v>
                </c:pt>
                <c:pt idx="3">
                  <c:v>80.062370000000001</c:v>
                </c:pt>
                <c:pt idx="4">
                  <c:v>68.746829999999989</c:v>
                </c:pt>
                <c:pt idx="5">
                  <c:v>37.765309999999999</c:v>
                </c:pt>
                <c:pt idx="6">
                  <c:v>127.90123</c:v>
                </c:pt>
                <c:pt idx="7">
                  <c:v>131.69096999999999</c:v>
                </c:pt>
                <c:pt idx="8">
                  <c:v>115.90814</c:v>
                </c:pt>
                <c:pt idx="9">
                  <c:v>92.036000000000001</c:v>
                </c:pt>
                <c:pt idx="10">
                  <c:v>88.197000000000003</c:v>
                </c:pt>
                <c:pt idx="11">
                  <c:v>25.907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9-411E-80BB-BF39DD506066}"/>
            </c:ext>
          </c:extLst>
        </c:ser>
        <c:ser>
          <c:idx val="1"/>
          <c:order val="1"/>
          <c:tx>
            <c:strRef>
              <c:f>resumen!$D$29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resumen!$B$30:$B$41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resumen!$D$30:$D$41</c:f>
              <c:numCache>
                <c:formatCode>#,##0.00</c:formatCode>
                <c:ptCount val="12"/>
                <c:pt idx="0">
                  <c:v>72.632999999999996</c:v>
                </c:pt>
                <c:pt idx="1">
                  <c:v>83.3</c:v>
                </c:pt>
                <c:pt idx="2">
                  <c:v>81.179999999999993</c:v>
                </c:pt>
                <c:pt idx="11">
                  <c:v>40.941000000000003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9-411E-80BB-BF39DD506066}"/>
            </c:ext>
          </c:extLst>
        </c:ser>
        <c:ser>
          <c:idx val="2"/>
          <c:order val="2"/>
          <c:tx>
            <c:strRef>
              <c:f>resumen!$E$29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resumen!$B$30:$B$41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resumen!$E$30:$E$41</c:f>
              <c:numCache>
                <c:formatCode>#,##0.00</c:formatCode>
                <c:ptCount val="12"/>
                <c:pt idx="0">
                  <c:v>67.182999999999993</c:v>
                </c:pt>
                <c:pt idx="1">
                  <c:v>69.046999999999997</c:v>
                </c:pt>
                <c:pt idx="2">
                  <c:v>75.359000000000009</c:v>
                </c:pt>
                <c:pt idx="3">
                  <c:v>95.974000000000004</c:v>
                </c:pt>
                <c:pt idx="4">
                  <c:v>113.788</c:v>
                </c:pt>
                <c:pt idx="5">
                  <c:v>108.104</c:v>
                </c:pt>
                <c:pt idx="6">
                  <c:v>93.185999999999993</c:v>
                </c:pt>
                <c:pt idx="7">
                  <c:v>91.876999999999995</c:v>
                </c:pt>
                <c:pt idx="8">
                  <c:v>91.804000000000002</c:v>
                </c:pt>
                <c:pt idx="9">
                  <c:v>86.867999999999995</c:v>
                </c:pt>
                <c:pt idx="10">
                  <c:v>85.439000000000007</c:v>
                </c:pt>
                <c:pt idx="11">
                  <c:v>57.180999999999997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9-411E-80BB-BF39DD506066}"/>
            </c:ext>
          </c:extLst>
        </c:ser>
        <c:ser>
          <c:idx val="3"/>
          <c:order val="3"/>
          <c:tx>
            <c:strRef>
              <c:f>resumen!$F$29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resumen!$B$30:$B$41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resumen!$F$30:$F$41</c:f>
              <c:numCache>
                <c:formatCode>#,##0.00</c:formatCode>
                <c:ptCount val="12"/>
                <c:pt idx="0">
                  <c:v>60.088999999999999</c:v>
                </c:pt>
                <c:pt idx="1">
                  <c:v>82.336020000000005</c:v>
                </c:pt>
                <c:pt idx="2">
                  <c:v>115.86799999999999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9-411E-80BB-BF39DD506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442208"/>
        <c:axId val="1509442624"/>
      </c:barChart>
      <c:catAx>
        <c:axId val="150944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09442624"/>
        <c:crosses val="autoZero"/>
        <c:auto val="1"/>
        <c:lblAlgn val="ctr"/>
        <c:lblOffset val="100"/>
        <c:noMultiLvlLbl val="0"/>
      </c:catAx>
      <c:valAx>
        <c:axId val="15094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094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 natural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resumen!$B$30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resumen!$C$29:$F$29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resumen!$C$30:$F$30</c:f>
              <c:numCache>
                <c:formatCode>#,##0.00</c:formatCode>
                <c:ptCount val="4"/>
                <c:pt idx="0">
                  <c:v>43.383830000000003</c:v>
                </c:pt>
                <c:pt idx="1">
                  <c:v>72.632999999999996</c:v>
                </c:pt>
                <c:pt idx="2">
                  <c:v>67.182999999999993</c:v>
                </c:pt>
                <c:pt idx="3">
                  <c:v>60.088999999999999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6-42B9-AE95-F41C186B987B}"/>
            </c:ext>
          </c:extLst>
        </c:ser>
        <c:ser>
          <c:idx val="1"/>
          <c:order val="1"/>
          <c:tx>
            <c:strRef>
              <c:f>resumen!$B$31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resumen!$C$29:$F$29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resumen!$C$31:$F$31</c:f>
              <c:numCache>
                <c:formatCode>#,##0.00</c:formatCode>
                <c:ptCount val="4"/>
                <c:pt idx="0">
                  <c:v>74.466030000000003</c:v>
                </c:pt>
                <c:pt idx="1">
                  <c:v>83.3</c:v>
                </c:pt>
                <c:pt idx="2">
                  <c:v>69.046999999999997</c:v>
                </c:pt>
                <c:pt idx="3">
                  <c:v>82.336020000000005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6-42B9-AE95-F41C186B987B}"/>
            </c:ext>
          </c:extLst>
        </c:ser>
        <c:ser>
          <c:idx val="2"/>
          <c:order val="2"/>
          <c:tx>
            <c:strRef>
              <c:f>resumen!$B$32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resumen!$C$29:$F$29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resumen!$C$32:$F$32</c:f>
              <c:numCache>
                <c:formatCode>#,##0.00</c:formatCode>
                <c:ptCount val="4"/>
                <c:pt idx="0">
                  <c:v>101.79547000000001</c:v>
                </c:pt>
                <c:pt idx="1">
                  <c:v>81.179999999999993</c:v>
                </c:pt>
                <c:pt idx="2">
                  <c:v>75.359000000000009</c:v>
                </c:pt>
                <c:pt idx="3">
                  <c:v>115.86799999999999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66-42B9-AE95-F41C186B9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156032"/>
        <c:axId val="1911154784"/>
      </c:barChart>
      <c:catAx>
        <c:axId val="191115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1154784"/>
        <c:crosses val="autoZero"/>
        <c:auto val="1"/>
        <c:lblAlgn val="ctr"/>
        <c:lblOffset val="100"/>
        <c:noMultiLvlLbl val="0"/>
      </c:catAx>
      <c:valAx>
        <c:axId val="19111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115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43.383830000000003</c:v>
                </c:pt>
                <c:pt idx="1">
                  <c:v>74.466030000000003</c:v>
                </c:pt>
                <c:pt idx="2">
                  <c:v>101.79547000000001</c:v>
                </c:pt>
                <c:pt idx="3">
                  <c:v>80.062370000000001</c:v>
                </c:pt>
                <c:pt idx="4">
                  <c:v>68.746829999999989</c:v>
                </c:pt>
                <c:pt idx="5">
                  <c:v>37.765309999999999</c:v>
                </c:pt>
                <c:pt idx="6">
                  <c:v>127.90123</c:v>
                </c:pt>
                <c:pt idx="7">
                  <c:v>131.69096999999999</c:v>
                </c:pt>
                <c:pt idx="8">
                  <c:v>115.90814</c:v>
                </c:pt>
                <c:pt idx="9">
                  <c:v>92.036000000000001</c:v>
                </c:pt>
                <c:pt idx="10">
                  <c:v>88.197000000000003</c:v>
                </c:pt>
                <c:pt idx="11">
                  <c:v>25.907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6-4F8A-8E66-9F010824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947167"/>
        <c:axId val="75947583"/>
      </c:lineChart>
      <c:catAx>
        <c:axId val="759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583"/>
        <c:crosses val="autoZero"/>
        <c:auto val="1"/>
        <c:lblAlgn val="ctr"/>
        <c:lblOffset val="100"/>
        <c:noMultiLvlLbl val="0"/>
      </c:catAx>
      <c:valAx>
        <c:axId val="7594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594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23'!$C$21</c:f>
              <c:strCache>
                <c:ptCount val="1"/>
                <c:pt idx="0">
                  <c:v>U$S /mm3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23'!$B$22:$B$33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23'!$C$22:$C$33</c:f>
              <c:numCache>
                <c:formatCode>#,##0.0</c:formatCode>
                <c:ptCount val="12"/>
                <c:pt idx="0">
                  <c:v>183.09972111528748</c:v>
                </c:pt>
                <c:pt idx="1">
                  <c:v>182.62884563658378</c:v>
                </c:pt>
                <c:pt idx="2">
                  <c:v>182.72750570905944</c:v>
                </c:pt>
                <c:pt idx="3">
                  <c:v>182.73949802320146</c:v>
                </c:pt>
                <c:pt idx="4">
                  <c:v>210.06617478300277</c:v>
                </c:pt>
                <c:pt idx="5">
                  <c:v>210.30155103936627</c:v>
                </c:pt>
                <c:pt idx="6">
                  <c:v>210.0266720289921</c:v>
                </c:pt>
                <c:pt idx="7">
                  <c:v>209.68584524940766</c:v>
                </c:pt>
                <c:pt idx="8">
                  <c:v>209.63083558856781</c:v>
                </c:pt>
                <c:pt idx="9">
                  <c:v>209.6731643818195</c:v>
                </c:pt>
                <c:pt idx="10">
                  <c:v>210.04328870978065</c:v>
                </c:pt>
                <c:pt idx="11">
                  <c:v>289.57035706590221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0-44EC-9DE8-6340659C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61823"/>
        <c:axId val="22560991"/>
      </c:lineChart>
      <c:catAx>
        <c:axId val="225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0991"/>
        <c:crosses val="autoZero"/>
        <c:auto val="1"/>
        <c:lblAlgn val="ctr"/>
        <c:lblOffset val="100"/>
        <c:noMultiLvlLbl val="0"/>
      </c:catAx>
      <c:valAx>
        <c:axId val="225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5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23'!$C$38</c:f>
              <c:strCache>
                <c:ptCount val="1"/>
                <c:pt idx="0">
                  <c:v>U$S / lt-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23'!$B$39:$B$50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23'!$C$39:$C$50</c:f>
              <c:numCache>
                <c:formatCode>#,##0.0000</c:formatCode>
                <c:ptCount val="12"/>
                <c:pt idx="0">
                  <c:v>7.1252340439638007E-3</c:v>
                </c:pt>
                <c:pt idx="1">
                  <c:v>5.8378324155130782E-3</c:v>
                </c:pt>
                <c:pt idx="2">
                  <c:v>1.0622206342304923E-2</c:v>
                </c:pt>
                <c:pt idx="3">
                  <c:v>5.3787330512385968E-3</c:v>
                </c:pt>
                <c:pt idx="4">
                  <c:v>1.2589033253619764E-2</c:v>
                </c:pt>
                <c:pt idx="5">
                  <c:v>3.2526222004683886E-3</c:v>
                </c:pt>
                <c:pt idx="6">
                  <c:v>9.7641248365470147E-3</c:v>
                </c:pt>
                <c:pt idx="7">
                  <c:v>8.4621143589089128E-3</c:v>
                </c:pt>
                <c:pt idx="8">
                  <c:v>8.4521825506684578E-3</c:v>
                </c:pt>
                <c:pt idx="9">
                  <c:v>7.1658989948031682E-3</c:v>
                </c:pt>
                <c:pt idx="10">
                  <c:v>1.3425411226020412E-2</c:v>
                </c:pt>
                <c:pt idx="11">
                  <c:v>6.486816281510448E-3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71-4014-8663-3ED7AA2B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761407"/>
        <c:axId val="1925759743"/>
      </c:lineChart>
      <c:catAx>
        <c:axId val="19257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59743"/>
        <c:crosses val="autoZero"/>
        <c:auto val="1"/>
        <c:lblAlgn val="ctr"/>
        <c:lblOffset val="100"/>
        <c:noMultiLvlLbl val="0"/>
      </c:catAx>
      <c:valAx>
        <c:axId val="19257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257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 orientation="landscape" horizontalDpi="-2" verticalDpi="-2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24'!$C$3</c:f>
              <c:strCache>
                <c:ptCount val="1"/>
                <c:pt idx="0">
                  <c:v>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24'!$B$4:$B$15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24'!$C$4:$C$15</c:f>
              <c:numCache>
                <c:formatCode>#,##0.0</c:formatCode>
                <c:ptCount val="12"/>
                <c:pt idx="0">
                  <c:v>72.632999999999996</c:v>
                </c:pt>
                <c:pt idx="1">
                  <c:v>83.3</c:v>
                </c:pt>
                <c:pt idx="2">
                  <c:v>81.179999999999993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0-4B71-8D54-4116EDC71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60991"/>
        <c:axId val="1863058911"/>
      </c:lineChart>
      <c:catAx>
        <c:axId val="186306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58911"/>
        <c:crosses val="autoZero"/>
        <c:auto val="1"/>
        <c:lblAlgn val="ctr"/>
        <c:lblOffset val="100"/>
        <c:noMultiLvlLbl val="0"/>
      </c:catAx>
      <c:valAx>
        <c:axId val="18630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</c:formatCode>
                <c:ptCount val="12"/>
                <c:pt idx="0">
                  <c:v>214.59238657911683</c:v>
                </c:pt>
                <c:pt idx="1">
                  <c:v>210.18844548155482</c:v>
                </c:pt>
                <c:pt idx="2">
                  <c:v>210.19054924709027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9F-45BE-A433-740342A4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47679"/>
        <c:axId val="1863049343"/>
      </c:lineChart>
      <c:catAx>
        <c:axId val="18630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9343"/>
        <c:crosses val="autoZero"/>
        <c:auto val="1"/>
        <c:lblAlgn val="ctr"/>
        <c:lblOffset val="100"/>
        <c:noMultiLvlLbl val="0"/>
      </c:catAx>
      <c:valAx>
        <c:axId val="186304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24'!$C$37</c:f>
              <c:strCache>
                <c:ptCount val="1"/>
                <c:pt idx="0">
                  <c:v>U$S / lt-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24'!$B$38:$B$49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24'!$C$38:$C$49</c:f>
              <c:numCache>
                <c:formatCode>#,##0.0000</c:formatCode>
                <c:ptCount val="12"/>
                <c:pt idx="0">
                  <c:v>7.0359159988719203E-3</c:v>
                </c:pt>
                <c:pt idx="1">
                  <c:v>5.8952637438260168E-3</c:v>
                </c:pt>
                <c:pt idx="2">
                  <c:v>9.1382790485793324E-3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9-49FE-ABF7-228BB935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40191"/>
        <c:axId val="1863054335"/>
      </c:lineChart>
      <c:catAx>
        <c:axId val="186304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54335"/>
        <c:crosses val="autoZero"/>
        <c:auto val="1"/>
        <c:lblAlgn val="ctr"/>
        <c:lblOffset val="100"/>
        <c:noMultiLvlLbl val="0"/>
      </c:catAx>
      <c:valAx>
        <c:axId val="18630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1462773403324585"/>
          <c:y val="0.19486111111111112"/>
          <c:w val="0.88396062992125979"/>
          <c:h val="0.5988466025080198"/>
        </c:manualLayout>
      </c:layout>
      <c:lineChart>
        <c:grouping val="standard"/>
        <c:varyColors val="0"/>
        <c:ser>
          <c:idx val="0"/>
          <c:order val="0"/>
          <c:tx>
            <c:strRef>
              <c:f>'graficos 24'!$M$20</c:f>
              <c:strCache>
                <c:ptCount val="1"/>
                <c:pt idx="0">
                  <c:v>U$S / MBTU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24'!$L$21:$L$32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24'!$M$21:$M$32</c:f>
              <c:numCache>
                <c:formatCode>#,##0.00</c:formatCode>
                <c:ptCount val="12"/>
                <c:pt idx="0">
                  <c:v>6.1189730989197848</c:v>
                </c:pt>
                <c:pt idx="1">
                  <c:v>5.9933973618920682</c:v>
                </c:pt>
                <c:pt idx="2">
                  <c:v>5.9934573495035721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D-413A-A1CA-72E7F4BC8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600176"/>
        <c:axId val="1420601424"/>
      </c:lineChart>
      <c:catAx>
        <c:axId val="14206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0601424"/>
        <c:crosses val="autoZero"/>
        <c:auto val="1"/>
        <c:lblAlgn val="ctr"/>
        <c:lblOffset val="100"/>
        <c:noMultiLvlLbl val="0"/>
      </c:catAx>
      <c:valAx>
        <c:axId val="14206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06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25'!$C$3</c:f>
              <c:strCache>
                <c:ptCount val="1"/>
                <c:pt idx="0">
                  <c:v>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25'!$B$4:$B$15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25'!$C$4:$C$15</c:f>
              <c:numCache>
                <c:formatCode>#,##0.0</c:formatCode>
                <c:ptCount val="12"/>
                <c:pt idx="0">
                  <c:v>67.182999999999993</c:v>
                </c:pt>
                <c:pt idx="1">
                  <c:v>69.046999999999997</c:v>
                </c:pt>
                <c:pt idx="2">
                  <c:v>75.359000000000009</c:v>
                </c:pt>
                <c:pt idx="3">
                  <c:v>95.974000000000004</c:v>
                </c:pt>
                <c:pt idx="4">
                  <c:v>113.788</c:v>
                </c:pt>
                <c:pt idx="5">
                  <c:v>108.104</c:v>
                </c:pt>
                <c:pt idx="6">
                  <c:v>93.185999999999993</c:v>
                </c:pt>
                <c:pt idx="7">
                  <c:v>91.876999999999995</c:v>
                </c:pt>
                <c:pt idx="8">
                  <c:v>91.804000000000002</c:v>
                </c:pt>
                <c:pt idx="9">
                  <c:v>86.867999999999995</c:v>
                </c:pt>
                <c:pt idx="10">
                  <c:v>85.439000000000007</c:v>
                </c:pt>
                <c:pt idx="11">
                  <c:v>57.180999999999997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0-45BF-900A-C904068D8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60991"/>
        <c:axId val="1863058911"/>
      </c:lineChart>
      <c:catAx>
        <c:axId val="186306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58911"/>
        <c:crosses val="autoZero"/>
        <c:auto val="1"/>
        <c:lblAlgn val="ctr"/>
        <c:lblOffset val="100"/>
        <c:noMultiLvlLbl val="0"/>
      </c:catAx>
      <c:valAx>
        <c:axId val="18630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mm3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</c:formatCode>
                <c:ptCount val="12"/>
                <c:pt idx="0">
                  <c:v>213.56134956661791</c:v>
                </c:pt>
                <c:pt idx="1">
                  <c:v>209.97077983727542</c:v>
                </c:pt>
                <c:pt idx="2">
                  <c:v>209.96182635643891</c:v>
                </c:pt>
                <c:pt idx="3">
                  <c:v>211.25106294684312</c:v>
                </c:pt>
                <c:pt idx="4">
                  <c:v>209.52858336042527</c:v>
                </c:pt>
                <c:pt idx="5">
                  <c:v>212.07492903691593</c:v>
                </c:pt>
                <c:pt idx="6">
                  <c:v>211.63307643094581</c:v>
                </c:pt>
                <c:pt idx="7">
                  <c:v>212.50123415765236</c:v>
                </c:pt>
                <c:pt idx="8">
                  <c:v>212.84611278878413</c:v>
                </c:pt>
                <c:pt idx="9">
                  <c:v>224.56887675038465</c:v>
                </c:pt>
                <c:pt idx="10">
                  <c:v>213.63821766924366</c:v>
                </c:pt>
                <c:pt idx="11">
                  <c:v>214.23521899541893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0-4145-BDDD-DE5C11A4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47679"/>
        <c:axId val="1863049343"/>
      </c:lineChart>
      <c:catAx>
        <c:axId val="18630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9343"/>
        <c:crosses val="autoZero"/>
        <c:auto val="1"/>
        <c:lblAlgn val="ctr"/>
        <c:lblOffset val="100"/>
        <c:noMultiLvlLbl val="0"/>
      </c:catAx>
      <c:valAx>
        <c:axId val="186304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25'!$C$37</c:f>
              <c:strCache>
                <c:ptCount val="1"/>
                <c:pt idx="0">
                  <c:v>U$S / lt-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'graficos 25'!$B$38:$B$49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25'!$C$38:$C$49</c:f>
              <c:numCache>
                <c:formatCode>#,##0.0000</c:formatCode>
                <c:ptCount val="12"/>
                <c:pt idx="0">
                  <c:v>2.3314644192068964E-2</c:v>
                </c:pt>
                <c:pt idx="1">
                  <c:v>2.6377476548631543E-2</c:v>
                </c:pt>
                <c:pt idx="2">
                  <c:v>2.7681578180854951E-2</c:v>
                </c:pt>
                <c:pt idx="3">
                  <c:v>1.1231201302046929E-2</c:v>
                </c:pt>
                <c:pt idx="4">
                  <c:v>8.4579208115203568E-3</c:v>
                </c:pt>
                <c:pt idx="5">
                  <c:v>8.1741103959874738E-3</c:v>
                </c:pt>
                <c:pt idx="6">
                  <c:v>6.5194569290971368E-3</c:v>
                </c:pt>
                <c:pt idx="7">
                  <c:v>6.4214395207472302E-3</c:v>
                </c:pt>
                <c:pt idx="8">
                  <c:v>6.7467307700275593E-3</c:v>
                </c:pt>
                <c:pt idx="9">
                  <c:v>7.1829944148187087E-3</c:v>
                </c:pt>
                <c:pt idx="10">
                  <c:v>9.4425114866210271E-3</c:v>
                </c:pt>
                <c:pt idx="11">
                  <c:v>8.6540162561501224E-3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5-4527-8C76-9E01F7EFA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40191"/>
        <c:axId val="1863054335"/>
      </c:lineChart>
      <c:catAx>
        <c:axId val="186304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54335"/>
        <c:crosses val="autoZero"/>
        <c:auto val="1"/>
        <c:lblAlgn val="ctr"/>
        <c:lblOffset val="100"/>
        <c:noMultiLvlLbl val="0"/>
      </c:catAx>
      <c:valAx>
        <c:axId val="18630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6304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0615223097112861"/>
          <c:y val="0.19486116866970576"/>
          <c:w val="0.88396062992125979"/>
          <c:h val="0.5988466025080198"/>
        </c:manualLayout>
      </c:layout>
      <c:lineChart>
        <c:grouping val="standard"/>
        <c:varyColors val="0"/>
        <c:ser>
          <c:idx val="0"/>
          <c:order val="0"/>
          <c:tx>
            <c:strRef>
              <c:f>'graficos 25'!$M$20</c:f>
              <c:strCache>
                <c:ptCount val="1"/>
                <c:pt idx="0">
                  <c:v>U$S / MBTU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25'!$L$21:$L$32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25'!$M$21:$M$32</c:f>
              <c:numCache>
                <c:formatCode>#,##0.00</c:formatCode>
                <c:ptCount val="12"/>
                <c:pt idx="0">
                  <c:v>6.089573697365779</c:v>
                </c:pt>
                <c:pt idx="1">
                  <c:v>5.9871907566944795</c:v>
                </c:pt>
                <c:pt idx="2">
                  <c:v>5.9869354535625572</c:v>
                </c:pt>
                <c:pt idx="3">
                  <c:v>6.0236972611018862</c:v>
                </c:pt>
                <c:pt idx="4">
                  <c:v>5.9745817895758551</c:v>
                </c:pt>
                <c:pt idx="5">
                  <c:v>6.0471893081527215</c:v>
                </c:pt>
                <c:pt idx="6">
                  <c:v>6.03459014630584</c:v>
                </c:pt>
                <c:pt idx="7">
                  <c:v>6.0593451427902014</c:v>
                </c:pt>
                <c:pt idx="8">
                  <c:v>6.069179149951073</c:v>
                </c:pt>
                <c:pt idx="9">
                  <c:v>6.403446727983594</c:v>
                </c:pt>
                <c:pt idx="10">
                  <c:v>6.0917655451737565</c:v>
                </c:pt>
                <c:pt idx="11">
                  <c:v>6.1087886796526645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B9-4ADA-A351-DB754399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600176"/>
        <c:axId val="1420601424"/>
      </c:lineChart>
      <c:catAx>
        <c:axId val="14206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0601424"/>
        <c:crosses val="autoZero"/>
        <c:auto val="1"/>
        <c:lblAlgn val="ctr"/>
        <c:lblOffset val="100"/>
        <c:noMultiLvlLbl val="0"/>
      </c:catAx>
      <c:valAx>
        <c:axId val="14206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06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'graficos 26'!$C$37</c:f>
              <c:strCache>
                <c:ptCount val="1"/>
                <c:pt idx="0">
                  <c:v>U$S / lt- kg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'graficos 26'!$B$38:$B$49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26'!$C$38:$C$49</c:f>
              <c:numCache>
                <c:formatCode>#,##0.0000</c:formatCode>
                <c:ptCount val="12"/>
                <c:pt idx="0">
                  <c:v>1.0768256261464368E-2</c:v>
                </c:pt>
                <c:pt idx="1">
                  <c:v>1.3892016366299123E-2</c:v>
                </c:pt>
                <c:pt idx="2">
                  <c:v>1.3901768896067687E-2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0-4CCC-B327-CEB38B545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84799"/>
        <c:axId val="276780639"/>
      </c:lineChart>
      <c:catAx>
        <c:axId val="27678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6780639"/>
        <c:crosses val="autoZero"/>
        <c:auto val="1"/>
        <c:lblAlgn val="ctr"/>
        <c:lblOffset val="100"/>
        <c:noMultiLvlLbl val="0"/>
      </c:catAx>
      <c:valAx>
        <c:axId val="2767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678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 - U$S / MBTU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precios!$B$5:$B$33</c:f>
              <c:strCache>
                <c:ptCount val="29"/>
                <c:pt idx="0">
                  <c:v>ene-22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 </c:v>
                </c:pt>
                <c:pt idx="11">
                  <c:v>diciembre</c:v>
                </c:pt>
                <c:pt idx="13">
                  <c:v>ene-23</c:v>
                </c:pt>
                <c:pt idx="14">
                  <c:v>febrero</c:v>
                </c:pt>
                <c:pt idx="15">
                  <c:v>marzo</c:v>
                </c:pt>
                <c:pt idx="16">
                  <c:v>abril</c:v>
                </c:pt>
                <c:pt idx="17">
                  <c:v>mayo</c:v>
                </c:pt>
                <c:pt idx="18">
                  <c:v>junio</c:v>
                </c:pt>
                <c:pt idx="19">
                  <c:v>julio</c:v>
                </c:pt>
                <c:pt idx="20">
                  <c:v>agosto</c:v>
                </c:pt>
                <c:pt idx="21">
                  <c:v>septiembre</c:v>
                </c:pt>
                <c:pt idx="22">
                  <c:v>octubre</c:v>
                </c:pt>
                <c:pt idx="23">
                  <c:v>noviembre </c:v>
                </c:pt>
                <c:pt idx="24">
                  <c:v>diciembre</c:v>
                </c:pt>
                <c:pt idx="27">
                  <c:v>ene-24</c:v>
                </c:pt>
                <c:pt idx="28">
                  <c:v>febrero</c:v>
                </c:pt>
              </c:strCache>
            </c:strRef>
          </c:cat>
          <c:val>
            <c:numRef>
              <c:f>precios!$C$5:$C$33</c:f>
              <c:numCache>
                <c:formatCode>General</c:formatCode>
                <c:ptCount val="29"/>
                <c:pt idx="0">
                  <c:v>4.33</c:v>
                </c:pt>
                <c:pt idx="1">
                  <c:v>4.66</c:v>
                </c:pt>
                <c:pt idx="2">
                  <c:v>4.88</c:v>
                </c:pt>
                <c:pt idx="3">
                  <c:v>6.53</c:v>
                </c:pt>
                <c:pt idx="4">
                  <c:v>8.14</c:v>
                </c:pt>
                <c:pt idx="5">
                  <c:v>7.67</c:v>
                </c:pt>
                <c:pt idx="6">
                  <c:v>7.26</c:v>
                </c:pt>
                <c:pt idx="7">
                  <c:v>8.7899999999999991</c:v>
                </c:pt>
                <c:pt idx="8">
                  <c:v>7.76</c:v>
                </c:pt>
                <c:pt idx="9">
                  <c:v>5.62</c:v>
                </c:pt>
                <c:pt idx="10">
                  <c:v>5.28</c:v>
                </c:pt>
                <c:pt idx="11">
                  <c:v>5.5</c:v>
                </c:pt>
                <c:pt idx="13">
                  <c:v>3.27</c:v>
                </c:pt>
                <c:pt idx="14">
                  <c:v>2.38</c:v>
                </c:pt>
                <c:pt idx="15">
                  <c:v>2.2999999999999998</c:v>
                </c:pt>
                <c:pt idx="16">
                  <c:v>2.16</c:v>
                </c:pt>
                <c:pt idx="17">
                  <c:v>2.15</c:v>
                </c:pt>
                <c:pt idx="18">
                  <c:v>2.1800000000000002</c:v>
                </c:pt>
                <c:pt idx="19">
                  <c:v>2.5499999999999998</c:v>
                </c:pt>
                <c:pt idx="20">
                  <c:v>2.58</c:v>
                </c:pt>
                <c:pt idx="21">
                  <c:v>2.64</c:v>
                </c:pt>
                <c:pt idx="22">
                  <c:v>2.99</c:v>
                </c:pt>
                <c:pt idx="23">
                  <c:v>2.71</c:v>
                </c:pt>
                <c:pt idx="24">
                  <c:v>2.5299999999999998</c:v>
                </c:pt>
                <c:pt idx="27">
                  <c:v>3.18</c:v>
                </c:pt>
                <c:pt idx="28">
                  <c:v>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1-49A1-911D-38812963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1799391"/>
        <c:axId val="1911820191"/>
      </c:barChart>
      <c:catAx>
        <c:axId val="1911799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1820191"/>
        <c:crosses val="autoZero"/>
        <c:auto val="1"/>
        <c:lblAlgn val="ctr"/>
        <c:lblOffset val="100"/>
        <c:noMultiLvlLbl val="0"/>
      </c:catAx>
      <c:valAx>
        <c:axId val="191182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179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ARG - U$S / MBTU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precios!$I$5:$I$33</c:f>
              <c:strCache>
                <c:ptCount val="28"/>
                <c:pt idx="0">
                  <c:v>ene-22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 </c:v>
                </c:pt>
                <c:pt idx="11">
                  <c:v>diciembre</c:v>
                </c:pt>
                <c:pt idx="13">
                  <c:v>ene-23</c:v>
                </c:pt>
                <c:pt idx="14">
                  <c:v>febrero</c:v>
                </c:pt>
                <c:pt idx="15">
                  <c:v>marzo</c:v>
                </c:pt>
                <c:pt idx="16">
                  <c:v>abril</c:v>
                </c:pt>
                <c:pt idx="17">
                  <c:v>mayo</c:v>
                </c:pt>
                <c:pt idx="18">
                  <c:v>junio</c:v>
                </c:pt>
                <c:pt idx="19">
                  <c:v>julio</c:v>
                </c:pt>
                <c:pt idx="20">
                  <c:v>agosto</c:v>
                </c:pt>
                <c:pt idx="21">
                  <c:v>septiembre</c:v>
                </c:pt>
                <c:pt idx="22">
                  <c:v>octubre</c:v>
                </c:pt>
                <c:pt idx="23">
                  <c:v>noviembre </c:v>
                </c:pt>
                <c:pt idx="24">
                  <c:v>diciembre</c:v>
                </c:pt>
                <c:pt idx="27">
                  <c:v>ene-24</c:v>
                </c:pt>
              </c:strCache>
            </c:strRef>
          </c:cat>
          <c:val>
            <c:numRef>
              <c:f>precios!$J$5:$J$33</c:f>
              <c:numCache>
                <c:formatCode>General</c:formatCode>
                <c:ptCount val="29"/>
                <c:pt idx="0">
                  <c:v>2.67</c:v>
                </c:pt>
                <c:pt idx="1">
                  <c:v>2.64</c:v>
                </c:pt>
                <c:pt idx="2">
                  <c:v>2.63</c:v>
                </c:pt>
                <c:pt idx="3">
                  <c:v>2.65</c:v>
                </c:pt>
                <c:pt idx="4">
                  <c:v>3.67</c:v>
                </c:pt>
                <c:pt idx="5">
                  <c:v>3.63</c:v>
                </c:pt>
                <c:pt idx="6">
                  <c:v>3.56</c:v>
                </c:pt>
                <c:pt idx="7">
                  <c:v>3.53</c:v>
                </c:pt>
                <c:pt idx="8">
                  <c:v>3.55</c:v>
                </c:pt>
                <c:pt idx="9">
                  <c:v>2.66</c:v>
                </c:pt>
                <c:pt idx="10">
                  <c:v>2.73</c:v>
                </c:pt>
                <c:pt idx="11">
                  <c:v>2.72</c:v>
                </c:pt>
                <c:pt idx="13">
                  <c:v>2.8</c:v>
                </c:pt>
                <c:pt idx="14">
                  <c:v>2.79</c:v>
                </c:pt>
                <c:pt idx="15">
                  <c:v>2.87</c:v>
                </c:pt>
                <c:pt idx="16">
                  <c:v>2.81</c:v>
                </c:pt>
                <c:pt idx="17">
                  <c:v>3.73</c:v>
                </c:pt>
                <c:pt idx="18">
                  <c:v>3.43</c:v>
                </c:pt>
                <c:pt idx="19">
                  <c:v>3.56</c:v>
                </c:pt>
                <c:pt idx="20">
                  <c:v>3.45</c:v>
                </c:pt>
                <c:pt idx="21">
                  <c:v>3.72</c:v>
                </c:pt>
                <c:pt idx="22">
                  <c:v>2.66</c:v>
                </c:pt>
                <c:pt idx="23">
                  <c:v>3.38</c:v>
                </c:pt>
                <c:pt idx="24">
                  <c:v>2.31</c:v>
                </c:pt>
                <c:pt idx="27">
                  <c:v>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A-4DDA-B729-FBBB94B0D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549743"/>
        <c:axId val="121560975"/>
      </c:barChart>
      <c:catAx>
        <c:axId val="12154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560975"/>
        <c:crosses val="autoZero"/>
        <c:auto val="1"/>
        <c:lblAlgn val="ctr"/>
        <c:lblOffset val="100"/>
        <c:noMultiLvlLbl val="0"/>
      </c:catAx>
      <c:valAx>
        <c:axId val="1215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54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10</xdr:row>
      <xdr:rowOff>15240</xdr:rowOff>
    </xdr:from>
    <xdr:to>
      <xdr:col>6</xdr:col>
      <xdr:colOff>83820</xdr:colOff>
      <xdr:row>26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025628-D814-409E-AFE5-3D98DB070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281940</xdr:colOff>
      <xdr:row>10</xdr:row>
      <xdr:rowOff>53340</xdr:rowOff>
    </xdr:from>
    <xdr:to>
      <xdr:col>11</xdr:col>
      <xdr:colOff>655320</xdr:colOff>
      <xdr:row>26</xdr:row>
      <xdr:rowOff>83820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8A8F68-D846-4FF5-A13D-9249DD0A5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83820</xdr:colOff>
      <xdr:row>10</xdr:row>
      <xdr:rowOff>53340</xdr:rowOff>
    </xdr:from>
    <xdr:to>
      <xdr:col>17</xdr:col>
      <xdr:colOff>434340</xdr:colOff>
      <xdr:row>26</xdr:row>
      <xdr:rowOff>53340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8E8226F-5EA5-4B75-A06B-A2EA4D7FE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236220</xdr:colOff>
      <xdr:row>27</xdr:row>
      <xdr:rowOff>60960</xdr:rowOff>
    </xdr:from>
    <xdr:to>
      <xdr:col>11</xdr:col>
      <xdr:colOff>777240</xdr:colOff>
      <xdr:row>41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D17655-812F-474F-A70A-E377B4CD3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274320</xdr:colOff>
      <xdr:row>42</xdr:row>
      <xdr:rowOff>76200</xdr:rowOff>
    </xdr:from>
    <xdr:to>
      <xdr:col>11</xdr:col>
      <xdr:colOff>746760</xdr:colOff>
      <xdr:row>57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F7D56E-760C-453F-8EBF-CEF1D57E4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9525</xdr:rowOff>
    </xdr:from>
    <xdr:to>
      <xdr:col>10</xdr:col>
      <xdr:colOff>114300</xdr:colOff>
      <xdr:row>17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20</xdr:row>
      <xdr:rowOff>19049</xdr:rowOff>
    </xdr:from>
    <xdr:to>
      <xdr:col>10</xdr:col>
      <xdr:colOff>123825</xdr:colOff>
      <xdr:row>34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36</xdr:row>
      <xdr:rowOff>228599</xdr:rowOff>
    </xdr:from>
    <xdr:to>
      <xdr:col>10</xdr:col>
      <xdr:colOff>114300</xdr:colOff>
      <xdr:row>50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2</xdr:row>
      <xdr:rowOff>9526</xdr:rowOff>
    </xdr:from>
    <xdr:to>
      <xdr:col>9</xdr:col>
      <xdr:colOff>723901</xdr:colOff>
      <xdr:row>15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219076</xdr:colOff>
      <xdr:row>19</xdr:row>
      <xdr:rowOff>9526</xdr:rowOff>
    </xdr:from>
    <xdr:to>
      <xdr:col>9</xdr:col>
      <xdr:colOff>733426</xdr:colOff>
      <xdr:row>33</xdr:row>
      <xdr:rowOff>47626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35</xdr:row>
      <xdr:rowOff>238124</xdr:rowOff>
    </xdr:from>
    <xdr:to>
      <xdr:col>9</xdr:col>
      <xdr:colOff>742950</xdr:colOff>
      <xdr:row>50</xdr:row>
      <xdr:rowOff>180974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133350</xdr:colOff>
      <xdr:row>18</xdr:row>
      <xdr:rowOff>228600</xdr:rowOff>
    </xdr:from>
    <xdr:to>
      <xdr:col>18</xdr:col>
      <xdr:colOff>609600</xdr:colOff>
      <xdr:row>33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2</xdr:row>
      <xdr:rowOff>9526</xdr:rowOff>
    </xdr:from>
    <xdr:to>
      <xdr:col>9</xdr:col>
      <xdr:colOff>723901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71715D-0155-45A9-BF03-469382A9F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219076</xdr:colOff>
      <xdr:row>19</xdr:row>
      <xdr:rowOff>9526</xdr:rowOff>
    </xdr:from>
    <xdr:to>
      <xdr:col>9</xdr:col>
      <xdr:colOff>733426</xdr:colOff>
      <xdr:row>33</xdr:row>
      <xdr:rowOff>47626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F4CACF-67D4-4F59-BBDD-61D0272C3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35</xdr:row>
      <xdr:rowOff>238124</xdr:rowOff>
    </xdr:from>
    <xdr:to>
      <xdr:col>9</xdr:col>
      <xdr:colOff>742950</xdr:colOff>
      <xdr:row>50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209C8C-2D10-4C5F-9AD2-C799B21B1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18</xdr:col>
      <xdr:colOff>476250</xdr:colOff>
      <xdr:row>33</xdr:row>
      <xdr:rowOff>47625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357FE46-A81F-4622-B23B-892C917E4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37</xdr:row>
      <xdr:rowOff>30480</xdr:rowOff>
    </xdr:from>
    <xdr:to>
      <xdr:col>7</xdr:col>
      <xdr:colOff>647700</xdr:colOff>
      <xdr:row>49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C7384A-11C5-4305-9AD6-9ABF19EC2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4</xdr:row>
      <xdr:rowOff>0</xdr:rowOff>
    </xdr:from>
    <xdr:to>
      <xdr:col>6</xdr:col>
      <xdr:colOff>742951</xdr:colOff>
      <xdr:row>32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514349</xdr:colOff>
      <xdr:row>4</xdr:row>
      <xdr:rowOff>0</xdr:rowOff>
    </xdr:from>
    <xdr:to>
      <xdr:col>14</xdr:col>
      <xdr:colOff>742950</xdr:colOff>
      <xdr:row>32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021B-25D7-41B0-85D5-86DEAA3F3618}">
  <dimension ref="B2:O41"/>
  <sheetViews>
    <sheetView tabSelected="1" topLeftCell="A22" workbookViewId="0">
      <selection activeCell="D28" sqref="D28"/>
    </sheetView>
  </sheetViews>
  <sheetFormatPr baseColWidth="10" defaultRowHeight="14.4" x14ac:dyDescent="0.3"/>
  <cols>
    <col min="11" max="11" width="12.109375" bestFit="1" customWidth="1"/>
  </cols>
  <sheetData>
    <row r="2" spans="2:15" ht="18" x14ac:dyDescent="0.35">
      <c r="C2" s="108" t="s">
        <v>49</v>
      </c>
    </row>
    <row r="3" spans="2:15" x14ac:dyDescent="0.3">
      <c r="C3" s="109" t="s">
        <v>50</v>
      </c>
    </row>
    <row r="5" spans="2:15" x14ac:dyDescent="0.3">
      <c r="C5" s="106" t="s">
        <v>51</v>
      </c>
      <c r="D5" s="73" t="s">
        <v>61</v>
      </c>
      <c r="E5" s="122"/>
      <c r="J5" s="106" t="s">
        <v>48</v>
      </c>
      <c r="K5" s="73" t="s">
        <v>61</v>
      </c>
      <c r="O5" s="106" t="s">
        <v>42</v>
      </c>
    </row>
    <row r="6" spans="2:15" x14ac:dyDescent="0.3">
      <c r="B6" s="122">
        <v>2023</v>
      </c>
      <c r="C6" s="111">
        <f>'datos 23'!I19</f>
        <v>196.55574167338011</v>
      </c>
      <c r="D6" s="17"/>
      <c r="E6" s="110"/>
      <c r="I6" s="122">
        <v>2023</v>
      </c>
      <c r="J6" s="107">
        <f>'datos 23'!K19</f>
        <v>7.8545588909725936E-3</v>
      </c>
      <c r="K6" s="17"/>
      <c r="N6" s="122">
        <v>2023</v>
      </c>
      <c r="O6" s="110">
        <f>'datos 23'!L19</f>
        <v>3.3562057313467186E-5</v>
      </c>
    </row>
    <row r="7" spans="2:15" x14ac:dyDescent="0.3">
      <c r="B7" s="122">
        <v>2024</v>
      </c>
      <c r="C7" s="111">
        <f>'datos 24'!I19</f>
        <v>182.7469164654826</v>
      </c>
      <c r="D7" s="124">
        <f>(C7-C6)/C6*100</f>
        <v>-7.0253990498246877</v>
      </c>
      <c r="E7" s="110"/>
      <c r="I7" s="122">
        <v>2024</v>
      </c>
      <c r="J7" s="107">
        <f>'datos 24'!K19</f>
        <v>7.2825164768349892E-3</v>
      </c>
      <c r="K7" s="124">
        <f>(J7-J6)/J6*100</f>
        <v>-7.2829349436168158</v>
      </c>
      <c r="N7" s="122">
        <v>2024</v>
      </c>
      <c r="O7" s="110">
        <f>'datos 24'!L19</f>
        <v>3.4209828912715191E-5</v>
      </c>
    </row>
    <row r="8" spans="2:15" x14ac:dyDescent="0.3">
      <c r="B8" s="15">
        <v>2025</v>
      </c>
      <c r="C8" s="111">
        <f>'datos 25'!I19</f>
        <v>201.94029319806694</v>
      </c>
      <c r="D8" s="124">
        <f>(C8-C7)/C7*100</f>
        <v>10.502708939666078</v>
      </c>
      <c r="E8" s="110"/>
      <c r="I8" s="15">
        <v>2025</v>
      </c>
      <c r="J8" s="107">
        <f>'datos 25'!K19</f>
        <v>9.1150512518105714E-3</v>
      </c>
      <c r="K8" s="124">
        <f>(J8-J7)/J7*100</f>
        <v>25.163482716512974</v>
      </c>
      <c r="N8" s="15">
        <v>2025</v>
      </c>
      <c r="O8" s="110">
        <f>'datos 25'!L19</f>
        <v>3.8965037891602356E-5</v>
      </c>
    </row>
    <row r="9" spans="2:15" x14ac:dyDescent="0.3">
      <c r="B9" s="15">
        <v>2026</v>
      </c>
      <c r="C9" s="111">
        <f>'datos 26'!I19</f>
        <v>217.62092510318402</v>
      </c>
      <c r="D9" s="124">
        <f>(C9-C8)/C8*100</f>
        <v>7.7649842222112726</v>
      </c>
      <c r="E9" s="110"/>
      <c r="I9" s="128" t="s">
        <v>62</v>
      </c>
      <c r="J9" s="107">
        <f>'datos 26'!K19</f>
        <v>1.3031439139153694E-2</v>
      </c>
      <c r="K9" s="124">
        <f>(J9-J8)/J8*100</f>
        <v>42.96616419534876</v>
      </c>
      <c r="N9" s="15">
        <v>2026</v>
      </c>
      <c r="O9" s="110">
        <f>'datos 26'!L19</f>
        <v>5.9881370015199109E-5</v>
      </c>
    </row>
    <row r="28" spans="2:6" x14ac:dyDescent="0.3">
      <c r="C28" t="s">
        <v>63</v>
      </c>
    </row>
    <row r="29" spans="2:6" x14ac:dyDescent="0.3">
      <c r="C29" s="15">
        <v>2023</v>
      </c>
      <c r="D29" s="15">
        <v>2024</v>
      </c>
      <c r="E29" s="15">
        <v>2025</v>
      </c>
      <c r="F29" s="15">
        <v>2026</v>
      </c>
    </row>
    <row r="30" spans="2:6" x14ac:dyDescent="0.3">
      <c r="B30" t="s">
        <v>0</v>
      </c>
      <c r="C30" s="22">
        <f>'datos 23'!C5</f>
        <v>43.383830000000003</v>
      </c>
      <c r="D30" s="22">
        <f>'datos 24'!C5</f>
        <v>72.632999999999996</v>
      </c>
      <c r="E30" s="22">
        <f>'datos 25'!C5</f>
        <v>67.182999999999993</v>
      </c>
      <c r="F30" s="22">
        <f>'datos 26'!C5</f>
        <v>60.088999999999999</v>
      </c>
    </row>
    <row r="31" spans="2:6" x14ac:dyDescent="0.3">
      <c r="B31" t="s">
        <v>1</v>
      </c>
      <c r="C31" s="22">
        <f>'datos 23'!C6</f>
        <v>74.466030000000003</v>
      </c>
      <c r="D31" s="22">
        <f>'datos 24'!C6</f>
        <v>83.3</v>
      </c>
      <c r="E31" s="22">
        <f>'datos 25'!C6</f>
        <v>69.046999999999997</v>
      </c>
      <c r="F31" s="22">
        <f>'datos 26'!C6</f>
        <v>82.336020000000005</v>
      </c>
    </row>
    <row r="32" spans="2:6" x14ac:dyDescent="0.3">
      <c r="B32" t="s">
        <v>2</v>
      </c>
      <c r="C32" s="22">
        <f>'datos 23'!C7</f>
        <v>101.79547000000001</v>
      </c>
      <c r="D32" s="22">
        <f>'datos 24'!C7</f>
        <v>81.179999999999993</v>
      </c>
      <c r="E32" s="22">
        <f>'datos 25'!C7</f>
        <v>75.359000000000009</v>
      </c>
      <c r="F32" s="22">
        <f>'datos 26'!C7</f>
        <v>115.86799999999999</v>
      </c>
    </row>
    <row r="33" spans="2:6" x14ac:dyDescent="0.3">
      <c r="B33" t="s">
        <v>3</v>
      </c>
      <c r="C33" s="22">
        <f>'datos 23'!C8</f>
        <v>80.062370000000001</v>
      </c>
      <c r="D33" s="22"/>
      <c r="E33" s="22">
        <f>'datos 25'!C8</f>
        <v>95.974000000000004</v>
      </c>
      <c r="F33" s="22"/>
    </row>
    <row r="34" spans="2:6" x14ac:dyDescent="0.3">
      <c r="B34" t="s">
        <v>4</v>
      </c>
      <c r="C34" s="22">
        <f>'datos 23'!C9</f>
        <v>68.746829999999989</v>
      </c>
      <c r="D34" s="22"/>
      <c r="E34" s="22">
        <f>'datos 25'!C9</f>
        <v>113.788</v>
      </c>
      <c r="F34" s="22"/>
    </row>
    <row r="35" spans="2:6" x14ac:dyDescent="0.3">
      <c r="B35" t="s">
        <v>5</v>
      </c>
      <c r="C35" s="22">
        <f>'datos 23'!C10</f>
        <v>37.765309999999999</v>
      </c>
      <c r="D35" s="22"/>
      <c r="E35" s="22">
        <f>'datos 25'!C10</f>
        <v>108.104</v>
      </c>
      <c r="F35" s="22"/>
    </row>
    <row r="36" spans="2:6" x14ac:dyDescent="0.3">
      <c r="B36" t="s">
        <v>6</v>
      </c>
      <c r="C36" s="22">
        <f>'datos 23'!C11</f>
        <v>127.90123</v>
      </c>
      <c r="D36" s="22"/>
      <c r="E36" s="22">
        <f>'datos 25'!C11</f>
        <v>93.185999999999993</v>
      </c>
      <c r="F36" s="22"/>
    </row>
    <row r="37" spans="2:6" x14ac:dyDescent="0.3">
      <c r="B37" t="s">
        <v>12</v>
      </c>
      <c r="C37" s="22">
        <f>'datos 23'!C12</f>
        <v>131.69096999999999</v>
      </c>
      <c r="D37" s="22"/>
      <c r="E37" s="22">
        <f>'datos 25'!C12</f>
        <v>91.876999999999995</v>
      </c>
      <c r="F37" s="22"/>
    </row>
    <row r="38" spans="2:6" x14ac:dyDescent="0.3">
      <c r="B38" t="s">
        <v>13</v>
      </c>
      <c r="C38" s="22">
        <f>'datos 23'!C13</f>
        <v>115.90814</v>
      </c>
      <c r="D38" s="22"/>
      <c r="E38" s="22">
        <f>'datos 25'!C13</f>
        <v>91.804000000000002</v>
      </c>
      <c r="F38" s="22"/>
    </row>
    <row r="39" spans="2:6" x14ac:dyDescent="0.3">
      <c r="B39" t="s">
        <v>14</v>
      </c>
      <c r="C39" s="22">
        <f>'datos 23'!C14</f>
        <v>92.036000000000001</v>
      </c>
      <c r="D39" s="22"/>
      <c r="E39" s="22">
        <f>'datos 25'!C14</f>
        <v>86.867999999999995</v>
      </c>
      <c r="F39" s="22"/>
    </row>
    <row r="40" spans="2:6" x14ac:dyDescent="0.3">
      <c r="B40" t="s">
        <v>15</v>
      </c>
      <c r="C40" s="22">
        <f>'datos 23'!C15</f>
        <v>88.197000000000003</v>
      </c>
      <c r="D40" s="22"/>
      <c r="E40" s="22">
        <f>'datos 25'!C15</f>
        <v>85.439000000000007</v>
      </c>
      <c r="F40" s="22"/>
    </row>
    <row r="41" spans="2:6" x14ac:dyDescent="0.3">
      <c r="B41" t="s">
        <v>16</v>
      </c>
      <c r="C41" s="22">
        <f>'datos 23'!C16</f>
        <v>25.907</v>
      </c>
      <c r="D41" s="22">
        <f>'datos 24'!C16</f>
        <v>40.941000000000003</v>
      </c>
      <c r="E41" s="22">
        <f>'datos 25'!C16</f>
        <v>57.180999999999997</v>
      </c>
      <c r="F41" s="22"/>
    </row>
  </sheetData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8"/>
  <sheetViews>
    <sheetView workbookViewId="0">
      <selection activeCell="N19" sqref="N19"/>
    </sheetView>
  </sheetViews>
  <sheetFormatPr baseColWidth="10" defaultRowHeight="14.4" x14ac:dyDescent="0.3"/>
  <cols>
    <col min="2" max="12" width="10.6640625" customWidth="1"/>
  </cols>
  <sheetData>
    <row r="2" spans="2:15" x14ac:dyDescent="0.3">
      <c r="B2" s="8" t="s">
        <v>19</v>
      </c>
    </row>
    <row r="3" spans="2:15" x14ac:dyDescent="0.3">
      <c r="B3" s="1"/>
      <c r="C3" s="2"/>
      <c r="N3" s="68" t="s">
        <v>29</v>
      </c>
      <c r="O3" s="68" t="s">
        <v>30</v>
      </c>
    </row>
    <row r="4" spans="2:15" x14ac:dyDescent="0.3">
      <c r="B4" s="54"/>
      <c r="C4" s="53" t="s">
        <v>31</v>
      </c>
      <c r="D4" s="53" t="s">
        <v>22</v>
      </c>
      <c r="E4" s="53" t="s">
        <v>8</v>
      </c>
      <c r="F4" s="53" t="s">
        <v>24</v>
      </c>
      <c r="G4" s="53" t="s">
        <v>23</v>
      </c>
      <c r="H4" s="53" t="s">
        <v>7</v>
      </c>
      <c r="I4" s="53" t="s">
        <v>32</v>
      </c>
      <c r="J4" s="53" t="s">
        <v>9</v>
      </c>
      <c r="K4" s="53" t="s">
        <v>10</v>
      </c>
      <c r="L4" s="53" t="s">
        <v>42</v>
      </c>
      <c r="M4" s="123" t="s">
        <v>27</v>
      </c>
      <c r="N4" s="123" t="s">
        <v>28</v>
      </c>
      <c r="O4" s="123" t="s">
        <v>28</v>
      </c>
    </row>
    <row r="5" spans="2:15" x14ac:dyDescent="0.3">
      <c r="B5" s="52" t="s">
        <v>0</v>
      </c>
      <c r="C5" s="39">
        <f>11.85776+31.52607</f>
        <v>43.383830000000003</v>
      </c>
      <c r="D5" s="9">
        <f>21037.7+55932.66</f>
        <v>76970.36</v>
      </c>
      <c r="E5" s="10">
        <v>184</v>
      </c>
      <c r="F5" s="9">
        <f>D5/E5</f>
        <v>418.31717391304346</v>
      </c>
      <c r="G5" s="9">
        <f>2056.82+5468.43</f>
        <v>7525.25</v>
      </c>
      <c r="H5" s="9">
        <f t="shared" ref="H5:H12" si="0">F5+G5</f>
        <v>7943.567173913043</v>
      </c>
      <c r="I5" s="39">
        <f t="shared" ref="I5:I13" si="1">H5/C5</f>
        <v>183.09972111528748</v>
      </c>
      <c r="J5" s="9">
        <v>1114850</v>
      </c>
      <c r="K5" s="11">
        <f>H5/J5</f>
        <v>7.1252340439638007E-3</v>
      </c>
      <c r="L5" s="40">
        <f>C5/J5</f>
        <v>3.8914499708480961E-5</v>
      </c>
      <c r="M5" s="79">
        <f>C5*35.07</f>
        <v>1521.4709181000001</v>
      </c>
      <c r="N5" s="80">
        <f>H5/M5</f>
        <v>5.2209786460019245</v>
      </c>
      <c r="O5" s="80">
        <f>G5/M5</f>
        <v>4.9460360434608033</v>
      </c>
    </row>
    <row r="6" spans="2:15" x14ac:dyDescent="0.3">
      <c r="B6" s="52" t="s">
        <v>1</v>
      </c>
      <c r="C6" s="39">
        <f>20.3532+54.11283</f>
        <v>74.466030000000003</v>
      </c>
      <c r="D6" s="9">
        <f>38080.55+101244.33</f>
        <v>139324.88</v>
      </c>
      <c r="E6" s="10">
        <v>204</v>
      </c>
      <c r="F6" s="9">
        <f t="shared" ref="F6:F11" si="2">D6/E6</f>
        <v>682.96509803921572</v>
      </c>
      <c r="G6" s="9">
        <f>3530.41+9386.27</f>
        <v>12916.68</v>
      </c>
      <c r="H6" s="9">
        <f t="shared" si="0"/>
        <v>13599.645098039216</v>
      </c>
      <c r="I6" s="39">
        <f t="shared" si="1"/>
        <v>182.62884563658378</v>
      </c>
      <c r="J6" s="9">
        <v>2329571</v>
      </c>
      <c r="K6" s="11">
        <f t="shared" ref="K6:K14" si="3">H6/J6</f>
        <v>5.8378324155130782E-3</v>
      </c>
      <c r="L6" s="40">
        <f t="shared" ref="L6:L14" si="4">C6/J6</f>
        <v>3.1965555031377022E-5</v>
      </c>
      <c r="M6" s="79">
        <f t="shared" ref="M6:M16" si="5">C6*35.07</f>
        <v>2611.5236721000001</v>
      </c>
      <c r="N6" s="80">
        <f t="shared" ref="N6:N16" si="6">H6/M6</f>
        <v>5.2075519143593887</v>
      </c>
      <c r="O6" s="80">
        <f t="shared" ref="O6:O16" si="7">G6/M6</f>
        <v>4.9460321336522028</v>
      </c>
    </row>
    <row r="7" spans="2:15" x14ac:dyDescent="0.3">
      <c r="B7" s="52" t="s">
        <v>2</v>
      </c>
      <c r="C7" s="39">
        <f>27.82294+73.97253</f>
        <v>101.79547000000001</v>
      </c>
      <c r="D7" s="9">
        <f>55453.59+147433.81</f>
        <v>202887.4</v>
      </c>
      <c r="E7" s="10">
        <v>215</v>
      </c>
      <c r="F7" s="9">
        <f t="shared" si="2"/>
        <v>943.66232558139529</v>
      </c>
      <c r="G7" s="9">
        <f>4826.09+12831.08</f>
        <v>17657.169999999998</v>
      </c>
      <c r="H7" s="9">
        <f t="shared" si="0"/>
        <v>18600.832325581392</v>
      </c>
      <c r="I7" s="39">
        <f t="shared" si="1"/>
        <v>182.72750570905944</v>
      </c>
      <c r="J7" s="9">
        <v>1751127</v>
      </c>
      <c r="K7" s="11">
        <f t="shared" si="3"/>
        <v>1.0622206342304923E-2</v>
      </c>
      <c r="L7" s="40">
        <f t="shared" si="4"/>
        <v>5.8131403376225715E-5</v>
      </c>
      <c r="M7" s="79">
        <f t="shared" si="5"/>
        <v>3569.9671329000003</v>
      </c>
      <c r="N7" s="80">
        <f t="shared" si="6"/>
        <v>5.2103651471074839</v>
      </c>
      <c r="O7" s="80">
        <f t="shared" si="7"/>
        <v>4.9460315298915667</v>
      </c>
    </row>
    <row r="8" spans="2:15" x14ac:dyDescent="0.3">
      <c r="B8" s="52" t="s">
        <v>3</v>
      </c>
      <c r="C8" s="39">
        <f>21.88281+58.17956</f>
        <v>80.062370000000001</v>
      </c>
      <c r="D8" s="9">
        <f>46717.89+124208.29</f>
        <v>170926.18</v>
      </c>
      <c r="E8" s="10">
        <v>230</v>
      </c>
      <c r="F8" s="9">
        <f t="shared" si="2"/>
        <v>743.15730434782608</v>
      </c>
      <c r="G8" s="9">
        <f>3795.73+10091.67</f>
        <v>13887.4</v>
      </c>
      <c r="H8" s="9">
        <f t="shared" si="0"/>
        <v>14630.557304347825</v>
      </c>
      <c r="I8" s="39">
        <f t="shared" si="1"/>
        <v>182.73949802320146</v>
      </c>
      <c r="J8" s="9">
        <v>2720075</v>
      </c>
      <c r="K8" s="11">
        <f t="shared" si="3"/>
        <v>5.3787330512385968E-3</v>
      </c>
      <c r="L8" s="40">
        <f t="shared" si="4"/>
        <v>2.9433883256895491E-5</v>
      </c>
      <c r="M8" s="79">
        <f t="shared" si="5"/>
        <v>2807.7873159000001</v>
      </c>
      <c r="N8" s="80">
        <f t="shared" si="6"/>
        <v>5.2107071007471193</v>
      </c>
      <c r="O8" s="80">
        <f t="shared" si="7"/>
        <v>4.9460298938449236</v>
      </c>
    </row>
    <row r="9" spans="2:15" x14ac:dyDescent="0.3">
      <c r="B9" s="52" t="s">
        <v>4</v>
      </c>
      <c r="C9" s="39">
        <f>18.79002+49.95681</f>
        <v>68.746829999999989</v>
      </c>
      <c r="D9" s="9">
        <f>49399.94+131339.06</f>
        <v>180739</v>
      </c>
      <c r="E9" s="10">
        <v>244</v>
      </c>
      <c r="F9" s="9">
        <f t="shared" si="2"/>
        <v>740.73360655737702</v>
      </c>
      <c r="G9" s="9">
        <f>3744.69+9955.96</f>
        <v>13700.65</v>
      </c>
      <c r="H9" s="9">
        <f t="shared" si="0"/>
        <v>14441.383606557376</v>
      </c>
      <c r="I9" s="39">
        <f t="shared" si="1"/>
        <v>210.06617478300277</v>
      </c>
      <c r="J9" s="9">
        <v>1147140</v>
      </c>
      <c r="K9" s="11">
        <f t="shared" si="3"/>
        <v>1.2589033253619764E-2</v>
      </c>
      <c r="L9" s="40">
        <f t="shared" si="4"/>
        <v>5.9928892724514869E-5</v>
      </c>
      <c r="M9" s="79">
        <f t="shared" si="5"/>
        <v>2410.9513280999995</v>
      </c>
      <c r="N9" s="80">
        <f t="shared" si="6"/>
        <v>5.9899108863131669</v>
      </c>
      <c r="O9" s="80">
        <f t="shared" si="7"/>
        <v>5.6826738227009681</v>
      </c>
    </row>
    <row r="10" spans="2:15" x14ac:dyDescent="0.3">
      <c r="B10" s="52" t="s">
        <v>5</v>
      </c>
      <c r="C10" s="39">
        <f>10.32209+27.44322</f>
        <v>37.765309999999999</v>
      </c>
      <c r="D10" s="9">
        <f>29207.58+77653.86</f>
        <v>106861.44</v>
      </c>
      <c r="E10" s="10">
        <v>257</v>
      </c>
      <c r="F10" s="9">
        <f t="shared" si="2"/>
        <v>415.8032684824903</v>
      </c>
      <c r="G10" s="9">
        <f>2057.1+5469.2</f>
        <v>7526.2999999999993</v>
      </c>
      <c r="H10" s="9">
        <f t="shared" si="0"/>
        <v>7942.1032684824895</v>
      </c>
      <c r="I10" s="39">
        <f t="shared" si="1"/>
        <v>210.30155103936627</v>
      </c>
      <c r="J10" s="9">
        <v>2441754</v>
      </c>
      <c r="K10" s="11">
        <f t="shared" si="3"/>
        <v>3.2526222004683886E-3</v>
      </c>
      <c r="L10" s="40">
        <f t="shared" si="4"/>
        <v>1.5466467957050545E-5</v>
      </c>
      <c r="M10" s="79">
        <f t="shared" si="5"/>
        <v>1324.4294216999999</v>
      </c>
      <c r="N10" s="80">
        <f t="shared" si="6"/>
        <v>5.9966224989839256</v>
      </c>
      <c r="O10" s="80">
        <f t="shared" si="7"/>
        <v>5.6826735171281948</v>
      </c>
    </row>
    <row r="11" spans="2:15" x14ac:dyDescent="0.3">
      <c r="B11" s="52" t="s">
        <v>6</v>
      </c>
      <c r="C11" s="39">
        <f>34.95822+92.94301</f>
        <v>127.90123</v>
      </c>
      <c r="D11" s="9">
        <f>107332.2+285362.87</f>
        <v>392695.07</v>
      </c>
      <c r="E11" s="10">
        <v>286</v>
      </c>
      <c r="F11" s="9">
        <f t="shared" si="2"/>
        <v>1373.0596853146853</v>
      </c>
      <c r="G11" s="9">
        <f>6966.87+18522.74</f>
        <v>25489.61</v>
      </c>
      <c r="H11" s="9">
        <f t="shared" si="0"/>
        <v>26862.669685314686</v>
      </c>
      <c r="I11" s="39">
        <f t="shared" si="1"/>
        <v>210.0266720289921</v>
      </c>
      <c r="J11" s="9">
        <v>2751160</v>
      </c>
      <c r="K11" s="11">
        <f t="shared" si="3"/>
        <v>9.7641248365470147E-3</v>
      </c>
      <c r="L11" s="40">
        <f t="shared" si="4"/>
        <v>4.6489927884964889E-5</v>
      </c>
      <c r="M11" s="79">
        <f t="shared" si="5"/>
        <v>4485.4961360999996</v>
      </c>
      <c r="N11" s="80">
        <f t="shared" si="6"/>
        <v>5.9887844889932174</v>
      </c>
      <c r="O11" s="80">
        <f t="shared" si="7"/>
        <v>5.6826734939877639</v>
      </c>
    </row>
    <row r="12" spans="2:15" x14ac:dyDescent="0.3">
      <c r="B12" s="52" t="s">
        <v>12</v>
      </c>
      <c r="C12" s="39">
        <f>35.99404+95.69693</f>
        <v>131.69096999999999</v>
      </c>
      <c r="D12" s="9">
        <f>136560.18+363070.93</f>
        <v>499631.11</v>
      </c>
      <c r="E12" s="10">
        <v>365</v>
      </c>
      <c r="F12" s="9">
        <f t="shared" ref="F12" si="8">D12/E12</f>
        <v>1368.8523561643835</v>
      </c>
      <c r="G12" s="9">
        <f>7173.3+19071.58</f>
        <v>26244.880000000001</v>
      </c>
      <c r="H12" s="9">
        <f t="shared" si="0"/>
        <v>27613.732356164386</v>
      </c>
      <c r="I12" s="39">
        <f t="shared" si="1"/>
        <v>209.68584524940766</v>
      </c>
      <c r="J12" s="9">
        <v>3263219</v>
      </c>
      <c r="K12" s="11">
        <f t="shared" si="3"/>
        <v>8.4621143589089128E-3</v>
      </c>
      <c r="L12" s="40">
        <f t="shared" si="4"/>
        <v>4.0356154459752773E-5</v>
      </c>
      <c r="M12" s="79">
        <f t="shared" si="5"/>
        <v>4618.4023178999996</v>
      </c>
      <c r="N12" s="80">
        <f t="shared" si="6"/>
        <v>5.979066017947182</v>
      </c>
      <c r="O12" s="80">
        <f t="shared" si="7"/>
        <v>5.6826751316748911</v>
      </c>
    </row>
    <row r="13" spans="2:15" x14ac:dyDescent="0.3">
      <c r="B13" s="52" t="s">
        <v>13</v>
      </c>
      <c r="C13" s="39">
        <f>31.68024+84.2279</f>
        <v>115.90814</v>
      </c>
      <c r="D13" s="9">
        <f>120245.28+319694.79</f>
        <v>439940.06999999995</v>
      </c>
      <c r="E13" s="10">
        <v>367.1</v>
      </c>
      <c r="F13" s="9">
        <f t="shared" ref="F13" si="9">D13/E13</f>
        <v>1198.4202397166982</v>
      </c>
      <c r="G13" s="9">
        <f>6313.6+16785.9</f>
        <v>23099.5</v>
      </c>
      <c r="H13" s="9">
        <f>F13+G13</f>
        <v>24297.920239716699</v>
      </c>
      <c r="I13" s="39">
        <f t="shared" si="1"/>
        <v>209.63083558856781</v>
      </c>
      <c r="J13" s="9">
        <v>2874751</v>
      </c>
      <c r="K13" s="11">
        <f t="shared" si="3"/>
        <v>8.4521825506684578E-3</v>
      </c>
      <c r="L13" s="40">
        <f t="shared" si="4"/>
        <v>4.0319366790375936E-5</v>
      </c>
      <c r="M13" s="79">
        <f t="shared" si="5"/>
        <v>4064.8984697999999</v>
      </c>
      <c r="N13" s="80">
        <f t="shared" si="6"/>
        <v>5.9774974504866778</v>
      </c>
      <c r="O13" s="80">
        <f t="shared" si="7"/>
        <v>5.6826757597063757</v>
      </c>
    </row>
    <row r="14" spans="2:15" x14ac:dyDescent="0.3">
      <c r="B14" s="52" t="s">
        <v>14</v>
      </c>
      <c r="C14" s="39">
        <f>66.881+25.155</f>
        <v>92.036000000000001</v>
      </c>
      <c r="D14" s="9">
        <f>95452.6+253778.76</f>
        <v>349231.35999999999</v>
      </c>
      <c r="E14" s="10">
        <v>365.5</v>
      </c>
      <c r="F14" s="9">
        <f>D14/E14</f>
        <v>955.48935704514361</v>
      </c>
      <c r="G14" s="9">
        <f>5013.27+13328.72</f>
        <v>18341.989999999998</v>
      </c>
      <c r="H14" s="9">
        <f>F14+G14</f>
        <v>19297.47935704514</v>
      </c>
      <c r="I14" s="39">
        <f>H14/C14</f>
        <v>209.6731643818195</v>
      </c>
      <c r="J14" s="9">
        <v>2692960</v>
      </c>
      <c r="K14" s="11">
        <f t="shared" si="3"/>
        <v>7.1658989948031682E-3</v>
      </c>
      <c r="L14" s="40">
        <f t="shared" si="4"/>
        <v>3.4176519517556889E-5</v>
      </c>
      <c r="M14" s="79">
        <f t="shared" si="5"/>
        <v>3227.7025200000003</v>
      </c>
      <c r="N14" s="80">
        <f t="shared" si="6"/>
        <v>5.9787044306193184</v>
      </c>
      <c r="O14" s="80">
        <f t="shared" si="7"/>
        <v>5.6826767294527487</v>
      </c>
    </row>
    <row r="15" spans="2:15" x14ac:dyDescent="0.3">
      <c r="B15" s="52" t="s">
        <v>15</v>
      </c>
      <c r="C15" s="39">
        <f>64.091+24.106</f>
        <v>88.197000000000003</v>
      </c>
      <c r="D15" s="9">
        <f>251845+94725</f>
        <v>346570</v>
      </c>
      <c r="E15" s="10">
        <v>365.5</v>
      </c>
      <c r="F15" s="9">
        <f>D15/E15</f>
        <v>948.20793433652534</v>
      </c>
      <c r="G15" s="9">
        <f>4804.18+12772.8</f>
        <v>17576.98</v>
      </c>
      <c r="H15" s="9">
        <f>F15+G15</f>
        <v>18525.187934336525</v>
      </c>
      <c r="I15" s="39">
        <f>H15/C15</f>
        <v>210.04328870978065</v>
      </c>
      <c r="J15" s="9">
        <v>1379860</v>
      </c>
      <c r="K15" s="11">
        <f t="shared" ref="K15" si="10">H15/J15</f>
        <v>1.3425411226020412E-2</v>
      </c>
      <c r="L15" s="40">
        <f t="shared" ref="L15" si="11">C15/J15</f>
        <v>6.3917353934457119E-5</v>
      </c>
      <c r="M15" s="79">
        <f t="shared" si="5"/>
        <v>3093.0687900000003</v>
      </c>
      <c r="N15" s="80">
        <f t="shared" si="6"/>
        <v>5.989258303672103</v>
      </c>
      <c r="O15" s="80">
        <f t="shared" si="7"/>
        <v>5.6826993492116928</v>
      </c>
    </row>
    <row r="16" spans="2:15" x14ac:dyDescent="0.3">
      <c r="B16" s="52" t="s">
        <v>16</v>
      </c>
      <c r="C16" s="39">
        <v>25.907</v>
      </c>
      <c r="D16" s="9">
        <f>227816+85687</f>
        <v>313503</v>
      </c>
      <c r="E16" s="10">
        <v>790</v>
      </c>
      <c r="F16" s="9">
        <f>D16/E16</f>
        <v>396.83924050632913</v>
      </c>
      <c r="G16" s="9">
        <f>5163.09+1941.97</f>
        <v>7105.06</v>
      </c>
      <c r="H16" s="9">
        <f>F16+G16</f>
        <v>7501.8992405063291</v>
      </c>
      <c r="I16" s="39">
        <f>H16/C16</f>
        <v>289.57035706590221</v>
      </c>
      <c r="J16" s="9">
        <v>1156484</v>
      </c>
      <c r="K16" s="11">
        <f t="shared" ref="K16" si="12">H16/J16</f>
        <v>6.486816281510448E-3</v>
      </c>
      <c r="L16" s="40">
        <f t="shared" ref="L16" si="13">C16/J16</f>
        <v>2.2401520470667989E-5</v>
      </c>
      <c r="M16" s="79">
        <f t="shared" si="5"/>
        <v>908.55849000000001</v>
      </c>
      <c r="N16" s="80">
        <f t="shared" si="6"/>
        <v>8.2569249234645632</v>
      </c>
      <c r="O16" s="80">
        <f t="shared" si="7"/>
        <v>7.8201459544998588</v>
      </c>
    </row>
    <row r="17" spans="1:18" x14ac:dyDescent="0.3">
      <c r="N17" s="51"/>
      <c r="O17" s="51"/>
    </row>
    <row r="18" spans="1:18" x14ac:dyDescent="0.3">
      <c r="B18" s="13" t="s">
        <v>17</v>
      </c>
      <c r="C18" s="46">
        <f>SUM(C5:C16)</f>
        <v>987.8601799999999</v>
      </c>
      <c r="D18" s="46"/>
      <c r="E18" s="46"/>
      <c r="F18" s="46">
        <f>SUM(F5:F16)</f>
        <v>10185.507590005114</v>
      </c>
      <c r="G18" s="46">
        <f>SUM(G5:G16)</f>
        <v>191071.47</v>
      </c>
      <c r="H18" s="46">
        <f>SUM(H5:H16)</f>
        <v>201256.97759000509</v>
      </c>
      <c r="I18" s="46"/>
      <c r="J18" s="46">
        <f>SUM(J5:J16)</f>
        <v>25622951</v>
      </c>
      <c r="K18" s="15"/>
      <c r="L18" s="15"/>
      <c r="M18" s="46">
        <f>SUM(M5:M16)</f>
        <v>34644.256512599997</v>
      </c>
      <c r="N18" s="51"/>
      <c r="O18" s="51"/>
    </row>
    <row r="19" spans="1:18" x14ac:dyDescent="0.3">
      <c r="B19" s="20" t="s">
        <v>18</v>
      </c>
      <c r="C19" s="15"/>
      <c r="D19" s="15"/>
      <c r="E19" s="15"/>
      <c r="F19" s="15"/>
      <c r="G19" s="15"/>
      <c r="H19" s="45">
        <f>(H5*C5+H6*C6+H7*C7+H8*C8+H9*C9+H10*C10+H11*C11+H12*C12+H13*C13+H14*C14+C15*H15+C16*H16)/C18</f>
        <v>19443.806098778867</v>
      </c>
      <c r="I19" s="25">
        <f>(I5*C5+I6*C6+I7*C7+I8*C8+I9*C9+I10*C10+I11*C11+I12*C12+I13*C13+I14*C14+I15*C15+16*C16)/C18</f>
        <v>196.55574167338011</v>
      </c>
      <c r="J19" s="2"/>
      <c r="K19" s="16">
        <f>(K5*J5+K6*J6+K7*J7+K8*J8+K9*J9+K10*J10+K11*J11+K12*J12+K13*J13+K14*J14+K15*J15+K16*J16)/J18</f>
        <v>7.8545588909725936E-3</v>
      </c>
      <c r="L19" s="41">
        <f>(L5*J5+L6*J6+L7*J7+L8*J8+L9*J9+L10*J10+L11*L11+L12*J12+L13*J13+L14*J14+L15*J15+J16*L16)/J18</f>
        <v>3.3562057313467186E-5</v>
      </c>
      <c r="N19" s="41">
        <f>(N5*M5+N6*M6+N7*M7+N8*M8+N9*M9+N10*M10+N11*M11+N12*M12+N13*M13+N14*M14+N15*M15+L16*M16)/M18</f>
        <v>5.5927047714856375</v>
      </c>
      <c r="R19" s="18"/>
    </row>
    <row r="20" spans="1:18" x14ac:dyDescent="0.3">
      <c r="R20" s="18"/>
    </row>
    <row r="21" spans="1:18" x14ac:dyDescent="0.3">
      <c r="A21" s="26"/>
      <c r="B21" s="27"/>
      <c r="C21" s="13"/>
      <c r="D21" s="27"/>
      <c r="E21" s="26"/>
      <c r="F21" s="26"/>
      <c r="G21" s="26"/>
      <c r="H21" s="26"/>
      <c r="I21" s="26"/>
      <c r="J21" s="26"/>
      <c r="K21" s="26"/>
      <c r="L21" s="26"/>
      <c r="M21" s="26"/>
    </row>
    <row r="22" spans="1:18" x14ac:dyDescent="0.3">
      <c r="A22" s="26"/>
      <c r="B22" s="26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26"/>
    </row>
    <row r="23" spans="1:18" x14ac:dyDescent="0.3">
      <c r="A23" s="26"/>
      <c r="B23" s="13"/>
      <c r="C23" s="28"/>
      <c r="D23" s="28"/>
      <c r="E23" s="29"/>
      <c r="F23" s="30"/>
      <c r="G23" s="30"/>
      <c r="H23" s="30"/>
      <c r="I23" s="31"/>
      <c r="J23" s="28"/>
      <c r="K23" s="32"/>
      <c r="L23" s="33"/>
      <c r="M23" s="26"/>
    </row>
    <row r="24" spans="1:18" x14ac:dyDescent="0.3">
      <c r="A24" s="26"/>
      <c r="B24" s="13"/>
      <c r="C24" s="28"/>
      <c r="D24" s="28"/>
      <c r="E24" s="29"/>
      <c r="F24" s="30"/>
      <c r="G24" s="30"/>
      <c r="H24" s="30"/>
      <c r="I24" s="31"/>
      <c r="J24" s="28"/>
      <c r="K24" s="32"/>
      <c r="L24" s="33"/>
      <c r="M24" s="26"/>
    </row>
    <row r="25" spans="1:18" x14ac:dyDescent="0.3">
      <c r="A25" s="26"/>
      <c r="B25" s="13"/>
      <c r="C25" s="28"/>
      <c r="D25" s="28"/>
      <c r="E25" s="29"/>
      <c r="F25" s="30"/>
      <c r="G25" s="30"/>
      <c r="H25" s="30"/>
      <c r="I25" s="31"/>
      <c r="J25" s="28"/>
      <c r="K25" s="32"/>
      <c r="L25" s="33"/>
      <c r="M25" s="26"/>
    </row>
    <row r="26" spans="1:18" x14ac:dyDescent="0.3">
      <c r="A26" s="26"/>
      <c r="B26" s="13"/>
      <c r="C26" s="28"/>
      <c r="D26" s="28"/>
      <c r="E26" s="29"/>
      <c r="F26" s="30"/>
      <c r="G26" s="30"/>
      <c r="H26" s="30"/>
      <c r="I26" s="31"/>
      <c r="J26" s="28"/>
      <c r="K26" s="32"/>
      <c r="L26" s="33"/>
      <c r="M26" s="26"/>
    </row>
    <row r="27" spans="1:18" x14ac:dyDescent="0.3">
      <c r="A27" s="26"/>
      <c r="B27" s="13"/>
      <c r="C27" s="28"/>
      <c r="D27" s="28"/>
      <c r="E27" s="29"/>
      <c r="F27" s="30"/>
      <c r="G27" s="30"/>
      <c r="H27" s="30"/>
      <c r="I27" s="31"/>
      <c r="J27" s="28"/>
      <c r="K27" s="32"/>
      <c r="L27" s="33"/>
      <c r="M27" s="26"/>
    </row>
    <row r="28" spans="1:18" x14ac:dyDescent="0.3">
      <c r="A28" s="26"/>
      <c r="B28" s="13"/>
      <c r="C28" s="28"/>
      <c r="D28" s="28"/>
      <c r="E28" s="29"/>
      <c r="F28" s="30"/>
      <c r="G28" s="30"/>
      <c r="H28" s="30"/>
      <c r="I28" s="31"/>
      <c r="J28" s="28"/>
      <c r="K28" s="32"/>
      <c r="L28" s="33"/>
      <c r="M28" s="26"/>
    </row>
    <row r="29" spans="1:18" x14ac:dyDescent="0.3">
      <c r="A29" s="26"/>
      <c r="B29" s="13"/>
      <c r="C29" s="28"/>
      <c r="D29" s="28"/>
      <c r="E29" s="29"/>
      <c r="F29" s="30"/>
      <c r="G29" s="30"/>
      <c r="H29" s="30"/>
      <c r="I29" s="31"/>
      <c r="J29" s="28"/>
      <c r="K29" s="32"/>
      <c r="L29" s="33"/>
      <c r="M29" s="26"/>
    </row>
    <row r="30" spans="1:18" x14ac:dyDescent="0.3">
      <c r="A30" s="26"/>
      <c r="B30" s="13"/>
      <c r="C30" s="28"/>
      <c r="D30" s="28"/>
      <c r="E30" s="29"/>
      <c r="F30" s="28"/>
      <c r="G30" s="28"/>
      <c r="H30" s="28"/>
      <c r="I30" s="31"/>
      <c r="J30" s="28"/>
      <c r="K30" s="32"/>
      <c r="L30" s="33"/>
      <c r="M30" s="26"/>
    </row>
    <row r="31" spans="1:18" x14ac:dyDescent="0.3">
      <c r="A31" s="26"/>
      <c r="B31" s="13"/>
      <c r="C31" s="28"/>
      <c r="D31" s="28"/>
      <c r="E31" s="29"/>
      <c r="F31" s="28"/>
      <c r="G31" s="28"/>
      <c r="H31" s="28"/>
      <c r="I31" s="31"/>
      <c r="J31" s="28"/>
      <c r="K31" s="32"/>
      <c r="L31" s="33"/>
      <c r="M31" s="26"/>
    </row>
    <row r="32" spans="1:18" x14ac:dyDescent="0.3">
      <c r="A32" s="26"/>
      <c r="B32" s="13"/>
      <c r="C32" s="28"/>
      <c r="D32" s="28"/>
      <c r="E32" s="29"/>
      <c r="F32" s="30"/>
      <c r="G32" s="30"/>
      <c r="H32" s="30"/>
      <c r="I32" s="31"/>
      <c r="J32" s="28"/>
      <c r="K32" s="32"/>
      <c r="L32" s="33"/>
      <c r="M32" s="26"/>
    </row>
    <row r="33" spans="1:13" x14ac:dyDescent="0.3">
      <c r="A33" s="26"/>
      <c r="B33" s="13"/>
      <c r="C33" s="28"/>
      <c r="D33" s="28"/>
      <c r="E33" s="29"/>
      <c r="F33" s="30"/>
      <c r="G33" s="30"/>
      <c r="H33" s="30"/>
      <c r="I33" s="31"/>
      <c r="J33" s="28"/>
      <c r="K33" s="32"/>
      <c r="L33" s="26"/>
      <c r="M33" s="26"/>
    </row>
    <row r="34" spans="1:13" x14ac:dyDescent="0.3">
      <c r="A34" s="26"/>
      <c r="B34" s="13"/>
      <c r="C34" s="28"/>
      <c r="D34" s="28"/>
      <c r="E34" s="29"/>
      <c r="F34" s="30"/>
      <c r="G34" s="30"/>
      <c r="H34" s="30"/>
      <c r="I34" s="31"/>
      <c r="J34" s="28"/>
      <c r="K34" s="32"/>
      <c r="L34" s="26"/>
      <c r="M34" s="26"/>
    </row>
    <row r="35" spans="1:13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 spans="1:13" x14ac:dyDescent="0.3">
      <c r="A36" s="26"/>
      <c r="B36" s="13"/>
      <c r="C36" s="34"/>
      <c r="D36" s="34"/>
      <c r="E36" s="34"/>
      <c r="F36" s="34"/>
      <c r="G36" s="34"/>
      <c r="H36" s="34"/>
      <c r="I36" s="34"/>
      <c r="J36" s="34"/>
      <c r="K36" s="26"/>
      <c r="L36" s="26"/>
      <c r="M36" s="26"/>
    </row>
    <row r="37" spans="1:13" x14ac:dyDescent="0.3">
      <c r="A37" s="26"/>
      <c r="B37" s="20"/>
      <c r="C37" s="29"/>
      <c r="D37" s="29"/>
      <c r="E37" s="29"/>
      <c r="F37" s="29"/>
      <c r="G37" s="29"/>
      <c r="H37" s="29"/>
      <c r="I37" s="35"/>
      <c r="J37" s="13"/>
      <c r="K37" s="35"/>
      <c r="L37" s="35"/>
      <c r="M37" s="26"/>
    </row>
    <row r="38" spans="1:13" x14ac:dyDescent="0.3">
      <c r="A38" s="36"/>
      <c r="B38" s="36"/>
      <c r="C38" s="36"/>
      <c r="D38" s="36"/>
      <c r="E38" s="36"/>
      <c r="F38" s="36"/>
      <c r="G38" s="36"/>
      <c r="H38" s="36"/>
      <c r="I38" s="37"/>
      <c r="J38" s="26"/>
      <c r="K38" s="26"/>
      <c r="L38" s="26"/>
      <c r="M38" s="26"/>
    </row>
    <row r="39" spans="1:13" x14ac:dyDescent="0.3">
      <c r="A39" s="26"/>
      <c r="B39" s="38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 spans="1:13" x14ac:dyDescent="0.3">
      <c r="A40" s="26"/>
      <c r="B40" s="36"/>
      <c r="C40" s="13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x14ac:dyDescent="0.3">
      <c r="A41" s="26"/>
      <c r="B41" s="26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6"/>
    </row>
    <row r="42" spans="1:13" x14ac:dyDescent="0.3">
      <c r="A42" s="26"/>
      <c r="B42" s="13"/>
      <c r="C42" s="28"/>
      <c r="D42" s="28"/>
      <c r="E42" s="29"/>
      <c r="F42" s="28"/>
      <c r="G42" s="28"/>
      <c r="H42" s="28"/>
      <c r="I42" s="31"/>
      <c r="J42" s="28"/>
      <c r="K42" s="32"/>
      <c r="L42" s="33"/>
      <c r="M42" s="26"/>
    </row>
    <row r="43" spans="1:13" x14ac:dyDescent="0.3">
      <c r="A43" s="26"/>
      <c r="B43" s="13"/>
      <c r="C43" s="28"/>
      <c r="D43" s="28"/>
      <c r="E43" s="29"/>
      <c r="F43" s="28"/>
      <c r="G43" s="28"/>
      <c r="H43" s="28"/>
      <c r="I43" s="31"/>
      <c r="J43" s="28"/>
      <c r="K43" s="32"/>
      <c r="L43" s="33"/>
      <c r="M43" s="26"/>
    </row>
    <row r="44" spans="1:13" x14ac:dyDescent="0.3">
      <c r="A44" s="26"/>
      <c r="B44" s="13"/>
      <c r="C44" s="28"/>
      <c r="D44" s="28"/>
      <c r="E44" s="29"/>
      <c r="F44" s="28"/>
      <c r="G44" s="28"/>
      <c r="H44" s="28"/>
      <c r="I44" s="31"/>
      <c r="J44" s="28"/>
      <c r="K44" s="32"/>
      <c r="L44" s="33"/>
      <c r="M44" s="26"/>
    </row>
    <row r="45" spans="1:13" x14ac:dyDescent="0.3">
      <c r="A45" s="26"/>
      <c r="B45" s="13"/>
      <c r="C45" s="28"/>
      <c r="D45" s="28"/>
      <c r="E45" s="29"/>
      <c r="F45" s="28"/>
      <c r="G45" s="28"/>
      <c r="H45" s="28"/>
      <c r="I45" s="31"/>
      <c r="J45" s="28"/>
      <c r="K45" s="32"/>
      <c r="L45" s="33"/>
      <c r="M45" s="26"/>
    </row>
    <row r="46" spans="1:13" x14ac:dyDescent="0.3">
      <c r="A46" s="26"/>
      <c r="B46" s="13"/>
      <c r="C46" s="28"/>
      <c r="D46" s="28"/>
      <c r="E46" s="29"/>
      <c r="F46" s="28"/>
      <c r="G46" s="28"/>
      <c r="H46" s="28"/>
      <c r="I46" s="31"/>
      <c r="J46" s="28"/>
      <c r="K46" s="32"/>
      <c r="L46" s="33"/>
      <c r="M46" s="26"/>
    </row>
    <row r="47" spans="1:13" x14ac:dyDescent="0.3">
      <c r="A47" s="26"/>
      <c r="B47" s="13"/>
      <c r="C47" s="28"/>
      <c r="D47" s="28"/>
      <c r="E47" s="29"/>
      <c r="F47" s="28"/>
      <c r="G47" s="28"/>
      <c r="H47" s="28"/>
      <c r="I47" s="31"/>
      <c r="J47" s="28"/>
      <c r="K47" s="32"/>
      <c r="L47" s="33"/>
      <c r="M47" s="26"/>
    </row>
    <row r="48" spans="1:13" x14ac:dyDescent="0.3">
      <c r="A48" s="26"/>
      <c r="B48" s="13"/>
      <c r="C48" s="28"/>
      <c r="D48" s="28"/>
      <c r="E48" s="29"/>
      <c r="F48" s="28"/>
      <c r="G48" s="28"/>
      <c r="H48" s="28"/>
      <c r="I48" s="31"/>
      <c r="J48" s="28"/>
      <c r="K48" s="32"/>
      <c r="L48" s="33"/>
      <c r="M48" s="26"/>
    </row>
    <row r="49" spans="1:13" x14ac:dyDescent="0.3">
      <c r="A49" s="26"/>
      <c r="B49" s="13"/>
      <c r="C49" s="28"/>
      <c r="D49" s="28"/>
      <c r="E49" s="29"/>
      <c r="F49" s="28"/>
      <c r="G49" s="28"/>
      <c r="H49" s="28"/>
      <c r="I49" s="31"/>
      <c r="J49" s="28"/>
      <c r="K49" s="32"/>
      <c r="L49" s="33"/>
      <c r="M49" s="26"/>
    </row>
    <row r="50" spans="1:13" x14ac:dyDescent="0.3">
      <c r="A50" s="26"/>
      <c r="B50" s="13"/>
      <c r="C50" s="28"/>
      <c r="D50" s="28"/>
      <c r="E50" s="29"/>
      <c r="F50" s="28"/>
      <c r="G50" s="28"/>
      <c r="H50" s="28"/>
      <c r="I50" s="31"/>
      <c r="J50" s="28"/>
      <c r="K50" s="32"/>
      <c r="L50" s="33"/>
      <c r="M50" s="26"/>
    </row>
    <row r="51" spans="1:13" x14ac:dyDescent="0.3">
      <c r="A51" s="26"/>
      <c r="B51" s="13"/>
      <c r="C51" s="28"/>
      <c r="D51" s="28"/>
      <c r="E51" s="29"/>
      <c r="F51" s="28"/>
      <c r="G51" s="28"/>
      <c r="H51" s="28"/>
      <c r="I51" s="31"/>
      <c r="J51" s="28"/>
      <c r="K51" s="32"/>
      <c r="L51" s="33"/>
      <c r="M51" s="26"/>
    </row>
    <row r="52" spans="1:13" x14ac:dyDescent="0.3">
      <c r="A52" s="26"/>
      <c r="B52" s="13"/>
      <c r="C52" s="28"/>
      <c r="D52" s="28"/>
      <c r="E52" s="29"/>
      <c r="F52" s="28"/>
      <c r="G52" s="28"/>
      <c r="H52" s="28"/>
      <c r="I52" s="31"/>
      <c r="J52" s="28"/>
      <c r="K52" s="32"/>
      <c r="L52" s="26"/>
      <c r="M52" s="26"/>
    </row>
    <row r="53" spans="1:13" x14ac:dyDescent="0.3">
      <c r="A53" s="26"/>
      <c r="B53" s="13"/>
      <c r="C53" s="28"/>
      <c r="D53" s="28"/>
      <c r="E53" s="29"/>
      <c r="F53" s="28"/>
      <c r="G53" s="28"/>
      <c r="H53" s="28"/>
      <c r="I53" s="31"/>
      <c r="J53" s="28"/>
      <c r="K53" s="32"/>
      <c r="L53" s="26"/>
      <c r="M53" s="26"/>
    </row>
    <row r="54" spans="1:13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1:13" x14ac:dyDescent="0.3">
      <c r="A55" s="26"/>
      <c r="B55" s="13"/>
      <c r="C55" s="34"/>
      <c r="D55" s="34"/>
      <c r="E55" s="34"/>
      <c r="F55" s="34"/>
      <c r="G55" s="34"/>
      <c r="H55" s="34"/>
      <c r="I55" s="34"/>
      <c r="J55" s="34"/>
      <c r="K55" s="26"/>
      <c r="L55" s="26"/>
      <c r="M55" s="26"/>
    </row>
    <row r="56" spans="1:13" x14ac:dyDescent="0.3">
      <c r="A56" s="26"/>
      <c r="B56" s="20"/>
      <c r="C56" s="29"/>
      <c r="D56" s="29"/>
      <c r="E56" s="29"/>
      <c r="F56" s="29"/>
      <c r="G56" s="29"/>
      <c r="H56" s="29"/>
      <c r="I56" s="37"/>
      <c r="J56" s="13"/>
      <c r="K56" s="37"/>
      <c r="L56" s="37"/>
      <c r="M56" s="26"/>
    </row>
    <row r="57" spans="1:13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1:13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</sheetData>
  <pageMargins left="0.7" right="0.7" top="0.75" bottom="0.75" header="0.3" footer="0.3"/>
  <pageSetup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69"/>
  <sheetViews>
    <sheetView workbookViewId="0">
      <selection activeCell="B3" sqref="B3"/>
    </sheetView>
  </sheetViews>
  <sheetFormatPr baseColWidth="10" defaultRowHeight="14.4" x14ac:dyDescent="0.3"/>
  <cols>
    <col min="11" max="11" width="3.5546875" customWidth="1"/>
  </cols>
  <sheetData>
    <row r="1" spans="2:15" ht="18" x14ac:dyDescent="0.35">
      <c r="B1" s="12"/>
    </row>
    <row r="2" spans="2:15" ht="18" x14ac:dyDescent="0.35">
      <c r="B2" s="12" t="s">
        <v>44</v>
      </c>
      <c r="D2">
        <v>223</v>
      </c>
      <c r="L2" s="12"/>
    </row>
    <row r="4" spans="2:15" x14ac:dyDescent="0.3">
      <c r="C4" s="2" t="s">
        <v>31</v>
      </c>
      <c r="M4" s="2"/>
    </row>
    <row r="5" spans="2:15" x14ac:dyDescent="0.3">
      <c r="B5" s="2" t="s">
        <v>0</v>
      </c>
      <c r="C5" s="3">
        <f>'datos 23'!C5</f>
        <v>43.383830000000003</v>
      </c>
      <c r="L5" s="2"/>
      <c r="M5" s="22"/>
    </row>
    <row r="6" spans="2:15" x14ac:dyDescent="0.3">
      <c r="B6" s="2" t="s">
        <v>1</v>
      </c>
      <c r="C6" s="3">
        <f>'datos 23'!C6</f>
        <v>74.466030000000003</v>
      </c>
      <c r="L6" s="2"/>
      <c r="M6" s="22"/>
    </row>
    <row r="7" spans="2:15" x14ac:dyDescent="0.3">
      <c r="B7" s="2" t="s">
        <v>2</v>
      </c>
      <c r="C7" s="3">
        <f>'datos 23'!C7</f>
        <v>101.79547000000001</v>
      </c>
      <c r="L7" s="2"/>
      <c r="M7" s="22"/>
    </row>
    <row r="8" spans="2:15" x14ac:dyDescent="0.3">
      <c r="B8" s="2" t="s">
        <v>3</v>
      </c>
      <c r="C8" s="3">
        <f>'datos 23'!C8</f>
        <v>80.062370000000001</v>
      </c>
      <c r="L8" s="2"/>
      <c r="M8" s="22"/>
    </row>
    <row r="9" spans="2:15" x14ac:dyDescent="0.3">
      <c r="B9" s="2" t="s">
        <v>4</v>
      </c>
      <c r="C9" s="3">
        <f>'datos 23'!C9</f>
        <v>68.746829999999989</v>
      </c>
      <c r="L9" s="2"/>
      <c r="M9" s="22"/>
    </row>
    <row r="10" spans="2:15" x14ac:dyDescent="0.3">
      <c r="B10" s="2" t="s">
        <v>5</v>
      </c>
      <c r="C10" s="3">
        <f>'datos 23'!C10</f>
        <v>37.765309999999999</v>
      </c>
      <c r="L10" s="2"/>
      <c r="M10" s="22"/>
    </row>
    <row r="11" spans="2:15" x14ac:dyDescent="0.3">
      <c r="B11" s="2" t="s">
        <v>6</v>
      </c>
      <c r="C11" s="3">
        <f>'datos 23'!C11</f>
        <v>127.90123</v>
      </c>
      <c r="L11" s="2"/>
      <c r="M11" s="22"/>
    </row>
    <row r="12" spans="2:15" x14ac:dyDescent="0.3">
      <c r="B12" s="2" t="s">
        <v>12</v>
      </c>
      <c r="C12" s="3">
        <f>'datos 23'!C12</f>
        <v>131.69096999999999</v>
      </c>
      <c r="L12" s="44"/>
      <c r="M12" s="49"/>
    </row>
    <row r="13" spans="2:15" x14ac:dyDescent="0.3">
      <c r="B13" s="2" t="s">
        <v>13</v>
      </c>
      <c r="C13" s="3">
        <f>'datos 23'!C13</f>
        <v>115.90814</v>
      </c>
      <c r="L13" s="15"/>
      <c r="M13" s="50"/>
      <c r="N13" s="15"/>
    </row>
    <row r="14" spans="2:15" x14ac:dyDescent="0.3">
      <c r="B14" s="2" t="s">
        <v>14</v>
      </c>
      <c r="C14" s="3">
        <f>'datos 23'!C14</f>
        <v>92.036000000000001</v>
      </c>
      <c r="L14" s="43"/>
      <c r="M14" s="43"/>
      <c r="N14" s="43"/>
      <c r="O14" s="42"/>
    </row>
    <row r="15" spans="2:15" x14ac:dyDescent="0.3">
      <c r="B15" s="2" t="s">
        <v>15</v>
      </c>
      <c r="C15" s="3">
        <f>'datos 23'!C15</f>
        <v>88.197000000000003</v>
      </c>
      <c r="L15" s="43"/>
      <c r="M15" s="42"/>
      <c r="N15" s="43"/>
      <c r="O15" s="42"/>
    </row>
    <row r="16" spans="2:15" x14ac:dyDescent="0.3">
      <c r="B16" s="2" t="s">
        <v>16</v>
      </c>
      <c r="C16" s="3">
        <f>'datos 23'!C16</f>
        <v>25.907</v>
      </c>
      <c r="L16" s="43"/>
      <c r="M16" s="42"/>
      <c r="N16" s="43"/>
      <c r="O16" s="42"/>
    </row>
    <row r="17" spans="2:15" x14ac:dyDescent="0.3">
      <c r="B17" s="2"/>
      <c r="C17" s="3"/>
      <c r="L17" s="43"/>
      <c r="M17" s="42"/>
      <c r="N17" s="43"/>
      <c r="O17" s="42"/>
    </row>
    <row r="18" spans="2:15" x14ac:dyDescent="0.3">
      <c r="B18" s="5" t="s">
        <v>11</v>
      </c>
      <c r="C18" s="7">
        <f>AVERAGE(C5:C16)</f>
        <v>82.321681666666663</v>
      </c>
      <c r="L18" s="43"/>
      <c r="M18" s="42"/>
      <c r="N18" s="43"/>
      <c r="O18" s="42"/>
    </row>
    <row r="19" spans="2:15" x14ac:dyDescent="0.3">
      <c r="L19" s="43"/>
      <c r="M19" s="42"/>
      <c r="N19" s="43"/>
      <c r="O19" s="42"/>
    </row>
    <row r="20" spans="2:15" ht="18" x14ac:dyDescent="0.35">
      <c r="B20" s="12" t="s">
        <v>20</v>
      </c>
      <c r="L20" s="17"/>
      <c r="M20" s="17"/>
    </row>
    <row r="21" spans="2:15" x14ac:dyDescent="0.3">
      <c r="C21" s="2" t="s">
        <v>41</v>
      </c>
      <c r="M21" s="2"/>
    </row>
    <row r="22" spans="2:15" x14ac:dyDescent="0.3">
      <c r="B22" s="2" t="s">
        <v>0</v>
      </c>
      <c r="C22" s="47">
        <f>'datos 23'!I5</f>
        <v>183.09972111528748</v>
      </c>
      <c r="L22" s="2"/>
      <c r="M22" s="19"/>
    </row>
    <row r="23" spans="2:15" x14ac:dyDescent="0.3">
      <c r="B23" s="2" t="s">
        <v>1</v>
      </c>
      <c r="C23" s="47">
        <f>'datos 23'!I6</f>
        <v>182.62884563658378</v>
      </c>
      <c r="L23" s="2"/>
      <c r="M23" s="19"/>
    </row>
    <row r="24" spans="2:15" x14ac:dyDescent="0.3">
      <c r="B24" s="2" t="s">
        <v>2</v>
      </c>
      <c r="C24" s="47">
        <f>'datos 23'!I7</f>
        <v>182.72750570905944</v>
      </c>
      <c r="L24" s="2"/>
      <c r="M24" s="19"/>
    </row>
    <row r="25" spans="2:15" x14ac:dyDescent="0.3">
      <c r="B25" s="2" t="s">
        <v>3</v>
      </c>
      <c r="C25" s="47">
        <f>'datos 23'!I8</f>
        <v>182.73949802320146</v>
      </c>
      <c r="L25" s="2"/>
      <c r="M25" s="19"/>
    </row>
    <row r="26" spans="2:15" x14ac:dyDescent="0.3">
      <c r="B26" s="2" t="s">
        <v>4</v>
      </c>
      <c r="C26" s="47">
        <f>'datos 23'!I9</f>
        <v>210.06617478300277</v>
      </c>
      <c r="L26" s="2"/>
      <c r="M26" s="19"/>
    </row>
    <row r="27" spans="2:15" x14ac:dyDescent="0.3">
      <c r="B27" s="2" t="s">
        <v>5</v>
      </c>
      <c r="C27" s="47">
        <f>'datos 23'!I10</f>
        <v>210.30155103936627</v>
      </c>
      <c r="L27" s="2"/>
      <c r="M27" s="19"/>
    </row>
    <row r="28" spans="2:15" x14ac:dyDescent="0.3">
      <c r="B28" s="2" t="s">
        <v>6</v>
      </c>
      <c r="C28" s="47">
        <f>'datos 23'!I11</f>
        <v>210.0266720289921</v>
      </c>
      <c r="L28" s="2"/>
      <c r="M28" s="19"/>
    </row>
    <row r="29" spans="2:15" x14ac:dyDescent="0.3">
      <c r="B29" s="2" t="s">
        <v>12</v>
      </c>
      <c r="C29" s="47">
        <f>'datos 23'!I12</f>
        <v>209.68584524940766</v>
      </c>
      <c r="L29" s="2"/>
      <c r="M29" s="19"/>
    </row>
    <row r="30" spans="2:15" x14ac:dyDescent="0.3">
      <c r="B30" s="2" t="s">
        <v>13</v>
      </c>
      <c r="C30" s="47">
        <f>'datos 23'!I13</f>
        <v>209.63083558856781</v>
      </c>
      <c r="L30" s="2"/>
      <c r="M30" s="19"/>
    </row>
    <row r="31" spans="2:15" x14ac:dyDescent="0.3">
      <c r="B31" s="2" t="s">
        <v>14</v>
      </c>
      <c r="C31" s="47">
        <f>'datos 23'!I14</f>
        <v>209.6731643818195</v>
      </c>
      <c r="L31" s="2"/>
      <c r="M31" s="19"/>
    </row>
    <row r="32" spans="2:15" x14ac:dyDescent="0.3">
      <c r="B32" s="2" t="s">
        <v>15</v>
      </c>
      <c r="C32" s="47">
        <f>'datos 23'!I15</f>
        <v>210.04328870978065</v>
      </c>
      <c r="L32" s="2"/>
      <c r="M32" s="19"/>
    </row>
    <row r="33" spans="2:13" x14ac:dyDescent="0.3">
      <c r="B33" s="2" t="s">
        <v>16</v>
      </c>
      <c r="C33" s="47">
        <f>'datos 23'!I16</f>
        <v>289.57035706590221</v>
      </c>
      <c r="L33" s="2"/>
      <c r="M33" s="4"/>
    </row>
    <row r="34" spans="2:13" x14ac:dyDescent="0.3">
      <c r="B34" s="2"/>
      <c r="C34" s="4"/>
      <c r="L34" s="2"/>
      <c r="M34" s="4"/>
    </row>
    <row r="35" spans="2:13" x14ac:dyDescent="0.3">
      <c r="B35" s="14" t="s">
        <v>18</v>
      </c>
      <c r="C35" s="48">
        <f>'datos 23'!I19</f>
        <v>196.55574167338011</v>
      </c>
      <c r="L35" s="21"/>
      <c r="M35" s="6"/>
    </row>
    <row r="36" spans="2:13" x14ac:dyDescent="0.3">
      <c r="B36" s="5"/>
      <c r="C36" s="6"/>
    </row>
    <row r="37" spans="2:13" ht="18" x14ac:dyDescent="0.35">
      <c r="B37" s="12" t="s">
        <v>21</v>
      </c>
      <c r="L37" s="12"/>
    </row>
    <row r="38" spans="2:13" x14ac:dyDescent="0.3">
      <c r="C38" s="2" t="s">
        <v>25</v>
      </c>
      <c r="M38" s="2"/>
    </row>
    <row r="39" spans="2:13" x14ac:dyDescent="0.3">
      <c r="B39" s="2" t="s">
        <v>0</v>
      </c>
      <c r="C39" s="4">
        <f>'datos 23'!K5</f>
        <v>7.1252340439638007E-3</v>
      </c>
      <c r="L39" s="2"/>
      <c r="M39" s="4"/>
    </row>
    <row r="40" spans="2:13" x14ac:dyDescent="0.3">
      <c r="B40" s="2" t="s">
        <v>1</v>
      </c>
      <c r="C40" s="4">
        <f>'datos 23'!K6</f>
        <v>5.8378324155130782E-3</v>
      </c>
      <c r="L40" s="2"/>
      <c r="M40" s="4"/>
    </row>
    <row r="41" spans="2:13" x14ac:dyDescent="0.3">
      <c r="B41" s="2" t="s">
        <v>2</v>
      </c>
      <c r="C41" s="4">
        <f>'datos 23'!K7</f>
        <v>1.0622206342304923E-2</v>
      </c>
      <c r="L41" s="2"/>
      <c r="M41" s="4"/>
    </row>
    <row r="42" spans="2:13" x14ac:dyDescent="0.3">
      <c r="B42" s="2" t="s">
        <v>3</v>
      </c>
      <c r="C42" s="4">
        <f>'datos 23'!K8</f>
        <v>5.3787330512385968E-3</v>
      </c>
      <c r="L42" s="2"/>
      <c r="M42" s="4"/>
    </row>
    <row r="43" spans="2:13" x14ac:dyDescent="0.3">
      <c r="B43" s="2" t="s">
        <v>4</v>
      </c>
      <c r="C43" s="4">
        <f>'datos 23'!K9</f>
        <v>1.2589033253619764E-2</v>
      </c>
      <c r="L43" s="2"/>
      <c r="M43" s="4"/>
    </row>
    <row r="44" spans="2:13" x14ac:dyDescent="0.3">
      <c r="B44" s="2" t="s">
        <v>5</v>
      </c>
      <c r="C44" s="4">
        <f>'datos 23'!K10</f>
        <v>3.2526222004683886E-3</v>
      </c>
      <c r="L44" s="2"/>
      <c r="M44" s="4"/>
    </row>
    <row r="45" spans="2:13" x14ac:dyDescent="0.3">
      <c r="B45" s="2" t="s">
        <v>6</v>
      </c>
      <c r="C45" s="4">
        <f>'datos 23'!K11</f>
        <v>9.7641248365470147E-3</v>
      </c>
      <c r="L45" s="2"/>
      <c r="M45" s="4"/>
    </row>
    <row r="46" spans="2:13" x14ac:dyDescent="0.3">
      <c r="B46" s="2" t="s">
        <v>12</v>
      </c>
      <c r="C46" s="4">
        <f>'datos 23'!K12+'datos 23'!K30</f>
        <v>8.4621143589089128E-3</v>
      </c>
      <c r="L46" s="2"/>
      <c r="M46" s="19"/>
    </row>
    <row r="47" spans="2:13" x14ac:dyDescent="0.3">
      <c r="B47" s="2" t="s">
        <v>13</v>
      </c>
      <c r="C47" s="4">
        <f>'datos 23'!K13</f>
        <v>8.4521825506684578E-3</v>
      </c>
      <c r="L47" s="2"/>
      <c r="M47" s="19"/>
    </row>
    <row r="48" spans="2:13" x14ac:dyDescent="0.3">
      <c r="B48" s="2" t="s">
        <v>14</v>
      </c>
      <c r="C48" s="4">
        <f>'datos 23'!K14</f>
        <v>7.1658989948031682E-3</v>
      </c>
      <c r="L48" s="2"/>
      <c r="M48" s="19"/>
    </row>
    <row r="49" spans="2:16" x14ac:dyDescent="0.3">
      <c r="B49" s="2" t="s">
        <v>15</v>
      </c>
      <c r="C49" s="4">
        <f>'datos 23'!K15</f>
        <v>1.3425411226020412E-2</v>
      </c>
    </row>
    <row r="50" spans="2:16" x14ac:dyDescent="0.3">
      <c r="B50" s="2" t="s">
        <v>16</v>
      </c>
      <c r="C50" s="4">
        <f>'datos 23'!K16</f>
        <v>6.486816281510448E-3</v>
      </c>
    </row>
    <row r="51" spans="2:16" x14ac:dyDescent="0.3">
      <c r="B51" s="2"/>
      <c r="C51" s="4"/>
    </row>
    <row r="52" spans="2:16" x14ac:dyDescent="0.3">
      <c r="B52" s="14" t="s">
        <v>18</v>
      </c>
      <c r="C52" s="6">
        <f>'datos 23'!K19</f>
        <v>7.8545588909725936E-3</v>
      </c>
      <c r="L52" s="14"/>
      <c r="M52" s="6"/>
      <c r="N52" s="6"/>
    </row>
    <row r="54" spans="2:16" ht="18" x14ac:dyDescent="0.35">
      <c r="B54" s="12"/>
      <c r="E54" s="23"/>
      <c r="F54" s="24"/>
      <c r="L54" s="12"/>
      <c r="O54" s="8"/>
      <c r="P54" s="5"/>
    </row>
    <row r="55" spans="2:16" x14ac:dyDescent="0.3">
      <c r="C55" s="2"/>
      <c r="M55" s="2"/>
    </row>
    <row r="56" spans="2:16" x14ac:dyDescent="0.3">
      <c r="B56" s="2"/>
      <c r="C56" s="3"/>
      <c r="L56" s="2"/>
      <c r="M56" s="3"/>
    </row>
    <row r="57" spans="2:16" x14ac:dyDescent="0.3">
      <c r="B57" s="2"/>
      <c r="C57" s="3"/>
      <c r="L57" s="2"/>
      <c r="M57" s="3"/>
    </row>
    <row r="58" spans="2:16" x14ac:dyDescent="0.3">
      <c r="B58" s="2"/>
      <c r="C58" s="3"/>
      <c r="L58" s="2"/>
      <c r="M58" s="3"/>
    </row>
    <row r="59" spans="2:16" x14ac:dyDescent="0.3">
      <c r="B59" s="2"/>
      <c r="C59" s="3"/>
      <c r="L59" s="2"/>
      <c r="M59" s="3"/>
    </row>
    <row r="60" spans="2:16" x14ac:dyDescent="0.3">
      <c r="B60" s="2"/>
      <c r="C60" s="3"/>
      <c r="L60" s="2"/>
      <c r="M60" s="3"/>
    </row>
    <row r="61" spans="2:16" x14ac:dyDescent="0.3">
      <c r="B61" s="2"/>
      <c r="C61" s="3"/>
      <c r="L61" s="2"/>
      <c r="M61" s="3"/>
    </row>
    <row r="62" spans="2:16" x14ac:dyDescent="0.3">
      <c r="B62" s="2"/>
      <c r="C62" s="3"/>
      <c r="L62" s="2"/>
      <c r="M62" s="3"/>
    </row>
    <row r="63" spans="2:16" x14ac:dyDescent="0.3">
      <c r="B63" s="2"/>
      <c r="C63" s="3"/>
      <c r="L63" s="2"/>
      <c r="M63" s="3"/>
    </row>
    <row r="64" spans="2:16" x14ac:dyDescent="0.3">
      <c r="B64" s="2"/>
      <c r="C64" s="3"/>
      <c r="L64" s="2"/>
      <c r="M64" s="3"/>
    </row>
    <row r="65" spans="2:13" x14ac:dyDescent="0.3">
      <c r="L65" s="2"/>
      <c r="M65" s="3"/>
    </row>
    <row r="68" spans="2:13" x14ac:dyDescent="0.3">
      <c r="B68" s="14"/>
      <c r="C68" s="7"/>
      <c r="L68" s="14"/>
      <c r="M68" s="7"/>
    </row>
    <row r="69" spans="2:13" x14ac:dyDescent="0.3">
      <c r="B69" s="14"/>
      <c r="C69" s="7"/>
      <c r="L69" s="14"/>
      <c r="M69" s="7"/>
    </row>
  </sheetData>
  <pageMargins left="0.7" right="0.7" top="0.75" bottom="0.75" header="0.3" footer="0.3"/>
  <pageSetup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9"/>
  <sheetViews>
    <sheetView workbookViewId="0">
      <selection activeCell="L22" sqref="L22"/>
    </sheetView>
  </sheetViews>
  <sheetFormatPr baseColWidth="10" defaultRowHeight="14.4" x14ac:dyDescent="0.3"/>
  <cols>
    <col min="2" max="2" width="10.88671875" customWidth="1"/>
    <col min="3" max="15" width="9.6640625" customWidth="1"/>
  </cols>
  <sheetData>
    <row r="2" spans="2:15" x14ac:dyDescent="0.3">
      <c r="B2" s="55" t="s">
        <v>26</v>
      </c>
    </row>
    <row r="3" spans="2:15" x14ac:dyDescent="0.3">
      <c r="B3" s="1"/>
      <c r="C3" s="2"/>
      <c r="N3" s="68" t="s">
        <v>29</v>
      </c>
      <c r="O3" s="68" t="s">
        <v>30</v>
      </c>
    </row>
    <row r="4" spans="2:15" x14ac:dyDescent="0.3">
      <c r="B4" s="56"/>
      <c r="C4" s="57" t="s">
        <v>31</v>
      </c>
      <c r="D4" s="57" t="s">
        <v>22</v>
      </c>
      <c r="E4" s="57" t="s">
        <v>8</v>
      </c>
      <c r="F4" s="57" t="s">
        <v>24</v>
      </c>
      <c r="G4" s="57" t="s">
        <v>23</v>
      </c>
      <c r="H4" s="57" t="s">
        <v>7</v>
      </c>
      <c r="I4" s="57" t="s">
        <v>32</v>
      </c>
      <c r="J4" s="57" t="s">
        <v>9</v>
      </c>
      <c r="K4" s="57" t="s">
        <v>10</v>
      </c>
      <c r="L4" s="57" t="s">
        <v>33</v>
      </c>
      <c r="M4" s="57" t="s">
        <v>27</v>
      </c>
      <c r="N4" s="57" t="s">
        <v>28</v>
      </c>
      <c r="O4" s="57" t="s">
        <v>28</v>
      </c>
    </row>
    <row r="5" spans="2:15" x14ac:dyDescent="0.3">
      <c r="B5" s="58" t="s">
        <v>0</v>
      </c>
      <c r="C5" s="74">
        <f>52.781+19.852</f>
        <v>72.632999999999996</v>
      </c>
      <c r="D5" s="75">
        <f>475055.69+178680.48</f>
        <v>653736.17000000004</v>
      </c>
      <c r="E5" s="76">
        <v>805.5</v>
      </c>
      <c r="F5" s="75">
        <f>D5/E5</f>
        <v>811.59052762259466</v>
      </c>
      <c r="G5" s="75">
        <f>10518.72+3956.36+(241503.63/E5)</f>
        <v>14774.898286778398</v>
      </c>
      <c r="H5" s="75">
        <f t="shared" ref="H5:H6" si="0">F5+G5</f>
        <v>15586.488814400993</v>
      </c>
      <c r="I5" s="74">
        <f t="shared" ref="I5:I6" si="1">H5/C5</f>
        <v>214.59238657911683</v>
      </c>
      <c r="J5" s="75">
        <v>2215275</v>
      </c>
      <c r="K5" s="77">
        <f>H5/J5</f>
        <v>7.0359159988719203E-3</v>
      </c>
      <c r="L5" s="78">
        <f>C5/J5</f>
        <v>3.2787351457493991E-5</v>
      </c>
      <c r="M5" s="79">
        <f>C5*35.07</f>
        <v>2547.2393099999999</v>
      </c>
      <c r="N5" s="80">
        <f>H5/M5</f>
        <v>6.1189730989197848</v>
      </c>
      <c r="O5" s="80">
        <f>G5/M5</f>
        <v>5.8003573628809919</v>
      </c>
    </row>
    <row r="6" spans="2:15" x14ac:dyDescent="0.3">
      <c r="B6" s="58" t="s">
        <v>1</v>
      </c>
      <c r="C6" s="74">
        <f>22.768+60.532</f>
        <v>83.3</v>
      </c>
      <c r="D6" s="75">
        <f>208822.76+555194.65</f>
        <v>764017.41</v>
      </c>
      <c r="E6" s="76">
        <v>841.7</v>
      </c>
      <c r="F6" s="75">
        <f t="shared" ref="F6:F7" si="2">D6/E6</f>
        <v>907.70750861352019</v>
      </c>
      <c r="G6" s="75">
        <f>4537.42+12063.57</f>
        <v>16600.989999999998</v>
      </c>
      <c r="H6" s="75">
        <f t="shared" si="0"/>
        <v>17508.697508613517</v>
      </c>
      <c r="I6" s="74">
        <f t="shared" si="1"/>
        <v>210.18844548155482</v>
      </c>
      <c r="J6" s="75">
        <v>2969960</v>
      </c>
      <c r="K6" s="77">
        <f>H6/J6</f>
        <v>5.8952637438260168E-3</v>
      </c>
      <c r="L6" s="78">
        <f>C6/J6</f>
        <v>2.8047515791458468E-5</v>
      </c>
      <c r="M6" s="79">
        <f t="shared" ref="M6:M7" si="3">C6*35.07</f>
        <v>2921.3310000000001</v>
      </c>
      <c r="N6" s="80">
        <f t="shared" ref="N6:N7" si="4">H6/M6</f>
        <v>5.9933973618920682</v>
      </c>
      <c r="O6" s="80">
        <f t="shared" ref="O6:O7" si="5">G6/M6</f>
        <v>5.6826802577318345</v>
      </c>
    </row>
    <row r="7" spans="2:15" x14ac:dyDescent="0.3">
      <c r="B7" s="58" t="s">
        <v>2</v>
      </c>
      <c r="C7" s="74">
        <f>22.188+58.992</f>
        <v>81.179999999999993</v>
      </c>
      <c r="D7" s="75">
        <f>551619.31+207477.99</f>
        <v>759097.3</v>
      </c>
      <c r="E7" s="76">
        <v>858</v>
      </c>
      <c r="F7" s="75">
        <f t="shared" si="2"/>
        <v>884.7287878787879</v>
      </c>
      <c r="G7" s="75">
        <f>11756.59+4421.95</f>
        <v>16178.54</v>
      </c>
      <c r="H7" s="75">
        <f t="shared" ref="H7" si="6">F7+G7</f>
        <v>17063.268787878787</v>
      </c>
      <c r="I7" s="74">
        <f t="shared" ref="I7" si="7">H7/C7</f>
        <v>210.19054924709027</v>
      </c>
      <c r="J7" s="75">
        <v>1867230</v>
      </c>
      <c r="K7" s="77">
        <f>H7/J7</f>
        <v>9.1382790485793324E-3</v>
      </c>
      <c r="L7" s="78">
        <f>C7/J7</f>
        <v>4.3476165228707759E-5</v>
      </c>
      <c r="M7" s="79">
        <f t="shared" si="3"/>
        <v>2846.9825999999998</v>
      </c>
      <c r="N7" s="80">
        <f t="shared" si="4"/>
        <v>5.9934573495035721</v>
      </c>
      <c r="O7" s="80">
        <f t="shared" si="5"/>
        <v>5.6826971826241586</v>
      </c>
    </row>
    <row r="8" spans="2:15" x14ac:dyDescent="0.3">
      <c r="B8" s="58" t="s">
        <v>3</v>
      </c>
      <c r="C8" s="39"/>
      <c r="D8" s="9"/>
      <c r="E8" s="10"/>
      <c r="F8" s="9"/>
      <c r="G8" s="9"/>
      <c r="H8" s="9"/>
      <c r="I8" s="39"/>
      <c r="J8" s="9"/>
      <c r="K8" s="11"/>
      <c r="L8" s="40"/>
      <c r="M8" s="67"/>
      <c r="N8" s="67"/>
      <c r="O8" s="67"/>
    </row>
    <row r="9" spans="2:15" x14ac:dyDescent="0.3">
      <c r="B9" s="58" t="s">
        <v>4</v>
      </c>
      <c r="C9" s="39"/>
      <c r="D9" s="9"/>
      <c r="E9" s="10"/>
      <c r="F9" s="9"/>
      <c r="G9" s="9"/>
      <c r="H9" s="9"/>
      <c r="I9" s="39"/>
      <c r="J9" s="9"/>
      <c r="K9" s="11"/>
      <c r="L9" s="40"/>
      <c r="M9" s="67"/>
      <c r="N9" s="67"/>
      <c r="O9" s="67"/>
    </row>
    <row r="10" spans="2:15" x14ac:dyDescent="0.3">
      <c r="B10" s="58" t="s">
        <v>5</v>
      </c>
      <c r="C10" s="39"/>
      <c r="D10" s="9"/>
      <c r="E10" s="10"/>
      <c r="F10" s="9"/>
      <c r="G10" s="9"/>
      <c r="H10" s="9"/>
      <c r="I10" s="39"/>
      <c r="J10" s="9"/>
      <c r="K10" s="11"/>
      <c r="L10" s="40"/>
      <c r="M10" s="67"/>
      <c r="N10" s="67"/>
      <c r="O10" s="67"/>
    </row>
    <row r="11" spans="2:15" x14ac:dyDescent="0.3">
      <c r="B11" s="58" t="s">
        <v>6</v>
      </c>
      <c r="C11" s="39"/>
      <c r="D11" s="9"/>
      <c r="E11" s="10"/>
      <c r="F11" s="9"/>
      <c r="G11" s="9"/>
      <c r="H11" s="9"/>
      <c r="I11" s="39"/>
      <c r="J11" s="9"/>
      <c r="K11" s="11"/>
      <c r="L11" s="40"/>
      <c r="M11" s="67"/>
      <c r="N11" s="67"/>
      <c r="O11" s="67"/>
    </row>
    <row r="12" spans="2:15" x14ac:dyDescent="0.3">
      <c r="B12" s="58" t="s">
        <v>12</v>
      </c>
      <c r="C12" s="39"/>
      <c r="D12" s="9"/>
      <c r="E12" s="10"/>
      <c r="F12" s="9"/>
      <c r="G12" s="9"/>
      <c r="H12" s="9"/>
      <c r="I12" s="39"/>
      <c r="J12" s="9"/>
      <c r="K12" s="11"/>
      <c r="L12" s="40"/>
      <c r="M12" s="67"/>
      <c r="N12" s="67"/>
      <c r="O12" s="67"/>
    </row>
    <row r="13" spans="2:15" x14ac:dyDescent="0.3">
      <c r="B13" s="58" t="s">
        <v>13</v>
      </c>
      <c r="C13" s="39"/>
      <c r="D13" s="9"/>
      <c r="E13" s="10"/>
      <c r="F13" s="9"/>
      <c r="G13" s="9"/>
      <c r="H13" s="9"/>
      <c r="I13" s="39"/>
      <c r="J13" s="9"/>
      <c r="K13" s="11"/>
      <c r="L13" s="40"/>
      <c r="M13" s="67"/>
      <c r="N13" s="67"/>
      <c r="O13" s="67"/>
    </row>
    <row r="14" spans="2:15" x14ac:dyDescent="0.3">
      <c r="B14" s="58" t="s">
        <v>14</v>
      </c>
      <c r="C14" s="39"/>
      <c r="D14" s="9"/>
      <c r="E14" s="10"/>
      <c r="F14" s="9"/>
      <c r="G14" s="9"/>
      <c r="H14" s="9"/>
      <c r="I14" s="39"/>
      <c r="J14" s="9"/>
      <c r="K14" s="11"/>
      <c r="L14" s="40"/>
      <c r="M14" s="67"/>
      <c r="N14" s="67"/>
      <c r="O14" s="67"/>
    </row>
    <row r="15" spans="2:15" x14ac:dyDescent="0.3">
      <c r="B15" s="58" t="s">
        <v>15</v>
      </c>
      <c r="C15" s="39"/>
      <c r="D15" s="9"/>
      <c r="E15" s="10"/>
      <c r="F15" s="9"/>
      <c r="G15" s="9"/>
      <c r="H15" s="9"/>
      <c r="I15" s="39"/>
      <c r="J15" s="9"/>
      <c r="K15" s="11"/>
      <c r="L15" s="40"/>
      <c r="M15" s="67"/>
      <c r="N15" s="67"/>
      <c r="O15" s="67"/>
    </row>
    <row r="16" spans="2:15" x14ac:dyDescent="0.3">
      <c r="B16" s="58" t="s">
        <v>16</v>
      </c>
      <c r="C16" s="39">
        <f>29.751+11.19</f>
        <v>40.941000000000003</v>
      </c>
      <c r="D16" s="9">
        <f>334318.18+125745.54</f>
        <v>460063.72</v>
      </c>
      <c r="E16" s="10">
        <v>1036.5</v>
      </c>
      <c r="F16" s="75">
        <f t="shared" ref="F16" si="8">D16/E16</f>
        <v>443.86273034249876</v>
      </c>
      <c r="G16" s="75">
        <f>5929.14+((342249.2+103542.47)/1036.5)+2230</f>
        <v>8589.2332657983607</v>
      </c>
      <c r="H16" s="75">
        <f t="shared" ref="H16" si="9">F16+G16</f>
        <v>9033.0959961408589</v>
      </c>
      <c r="I16" s="74">
        <f t="shared" ref="I16" si="10">H16/C16</f>
        <v>220.6369164441723</v>
      </c>
      <c r="J16" s="75">
        <v>1075433</v>
      </c>
      <c r="K16" s="77">
        <f>H16/J16</f>
        <v>8.3994967572511344E-3</v>
      </c>
      <c r="L16" s="78">
        <f>C16/J16</f>
        <v>3.806931719595735E-5</v>
      </c>
      <c r="M16" s="79">
        <f t="shared" ref="M16" si="11">C16*35.07</f>
        <v>1435.80087</v>
      </c>
      <c r="N16" s="80">
        <f t="shared" ref="N16" si="12">H16/M16</f>
        <v>6.2913292399250729</v>
      </c>
      <c r="O16" s="80">
        <f t="shared" ref="O16" si="13">G16/M16</f>
        <v>5.9821897627059943</v>
      </c>
    </row>
    <row r="18" spans="1:15" x14ac:dyDescent="0.3">
      <c r="B18" s="13" t="s">
        <v>17</v>
      </c>
      <c r="C18" s="46">
        <f>SUM(C5:C16)</f>
        <v>278.05399999999997</v>
      </c>
      <c r="D18" s="46"/>
      <c r="E18" s="46"/>
      <c r="F18" s="46">
        <f>SUM(F5:F16)</f>
        <v>3047.8895544574016</v>
      </c>
      <c r="G18" s="46">
        <f>SUM(G5:G16)</f>
        <v>56143.661552576756</v>
      </c>
      <c r="H18" s="46">
        <f>SUM(H5:H16)</f>
        <v>59191.551107034153</v>
      </c>
      <c r="I18" s="46"/>
      <c r="J18" s="46">
        <f>SUM(J5:J16)</f>
        <v>8127898</v>
      </c>
      <c r="K18" s="15"/>
      <c r="L18" s="15"/>
      <c r="M18" s="129">
        <f>SUM(M5:M16)</f>
        <v>9751.3537800000013</v>
      </c>
      <c r="N18" s="69"/>
      <c r="O18" s="70"/>
    </row>
    <row r="19" spans="1:15" x14ac:dyDescent="0.3">
      <c r="A19" s="20" t="s">
        <v>18</v>
      </c>
      <c r="B19" s="20"/>
      <c r="C19" s="65">
        <f>(C5*J5+C6*J6+C7*J7+C8*J8+C9*J9+C10*J10+C11*J11+C12*J12+C13*J13+C14*J14+C15*J15+C16*J16)/J18</f>
        <v>74.300978054596627</v>
      </c>
      <c r="D19" s="15"/>
      <c r="E19" s="15"/>
      <c r="F19" s="15"/>
      <c r="G19" s="15"/>
      <c r="H19" s="46">
        <f>(H5*C5+H6*C6+H7*C7+H8*C8+H9*C9+H10*C10+H11*C11+H12*C12+H13*C13+H14*C14+H15*C15+H16*C16)/C18</f>
        <v>15628.576060412353</v>
      </c>
      <c r="I19" s="66">
        <f>(I5*C5+I6*C6+I7*C7+I8*C8+I9*C9+I10*C10+I11*C11+I12*C12+I13*C13+I14*C14+I15*C15+16*C16)/C18</f>
        <v>182.7469164654826</v>
      </c>
      <c r="J19" s="2"/>
      <c r="K19" s="16">
        <f>(K5*J5+K6*J6+K7*J7+K8*J8+K9*J9+K10*J10+K11*J11+K12*J12+K13*J13+K14*J14+K15*J15+K16*J16)/J18</f>
        <v>7.2825164768349892E-3</v>
      </c>
      <c r="L19" s="41">
        <f>(L5*J5+L6*J6+L7*J7+L8*J8+L9*J9+L10*J10+L11*L11+L12*J12+L13*J13+L14*J14+L15*J15+J16*L16)/J18</f>
        <v>3.4209828912715191E-5</v>
      </c>
      <c r="M19" s="51"/>
      <c r="N19" s="70">
        <f>H18/M18</f>
        <v>6.0700854919689053</v>
      </c>
      <c r="O19" s="70">
        <f>G18/M18</f>
        <v>5.7575248339084206</v>
      </c>
    </row>
  </sheetData>
  <pageMargins left="0.31496062992125984" right="0.31496062992125984" top="0.74803149606299213" bottom="0.74803149606299213" header="0.31496062992125984" footer="0.31496062992125984"/>
  <pageSetup scale="90" orientation="landscape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topLeftCell="A18" workbookViewId="0">
      <selection activeCell="C8" sqref="C8"/>
    </sheetView>
  </sheetViews>
  <sheetFormatPr baseColWidth="10" defaultRowHeight="14.4" x14ac:dyDescent="0.3"/>
  <sheetData>
    <row r="1" spans="2:3" ht="18" x14ac:dyDescent="0.35">
      <c r="B1" s="59" t="s">
        <v>45</v>
      </c>
      <c r="C1" s="60"/>
    </row>
    <row r="3" spans="2:3" x14ac:dyDescent="0.3">
      <c r="C3" s="2" t="s">
        <v>31</v>
      </c>
    </row>
    <row r="4" spans="2:3" x14ac:dyDescent="0.3">
      <c r="B4" s="2" t="s">
        <v>0</v>
      </c>
      <c r="C4" s="47">
        <f>'datos 24'!C5</f>
        <v>72.632999999999996</v>
      </c>
    </row>
    <row r="5" spans="2:3" x14ac:dyDescent="0.3">
      <c r="B5" s="2" t="s">
        <v>1</v>
      </c>
      <c r="C5" s="47">
        <f>'datos 24'!C6</f>
        <v>83.3</v>
      </c>
    </row>
    <row r="6" spans="2:3" x14ac:dyDescent="0.3">
      <c r="B6" s="2" t="s">
        <v>2</v>
      </c>
      <c r="C6" s="47">
        <f>'datos 24'!C7</f>
        <v>81.179999999999993</v>
      </c>
    </row>
    <row r="7" spans="2:3" x14ac:dyDescent="0.3">
      <c r="B7" s="2" t="s">
        <v>3</v>
      </c>
      <c r="C7" s="3"/>
    </row>
    <row r="8" spans="2:3" x14ac:dyDescent="0.3">
      <c r="B8" s="2" t="s">
        <v>4</v>
      </c>
      <c r="C8" s="3"/>
    </row>
    <row r="9" spans="2:3" x14ac:dyDescent="0.3">
      <c r="B9" s="2" t="s">
        <v>5</v>
      </c>
      <c r="C9" s="3"/>
    </row>
    <row r="10" spans="2:3" x14ac:dyDescent="0.3">
      <c r="B10" s="2" t="s">
        <v>6</v>
      </c>
      <c r="C10" s="3"/>
    </row>
    <row r="11" spans="2:3" x14ac:dyDescent="0.3">
      <c r="B11" s="2" t="s">
        <v>12</v>
      </c>
      <c r="C11" s="3"/>
    </row>
    <row r="12" spans="2:3" x14ac:dyDescent="0.3">
      <c r="B12" s="2" t="s">
        <v>13</v>
      </c>
      <c r="C12" s="3"/>
    </row>
    <row r="13" spans="2:3" x14ac:dyDescent="0.3">
      <c r="B13" s="2" t="s">
        <v>14</v>
      </c>
      <c r="C13" s="3"/>
    </row>
    <row r="14" spans="2:3" x14ac:dyDescent="0.3">
      <c r="B14" s="2" t="s">
        <v>15</v>
      </c>
      <c r="C14" s="3"/>
    </row>
    <row r="15" spans="2:3" x14ac:dyDescent="0.3">
      <c r="B15" s="2" t="s">
        <v>16</v>
      </c>
      <c r="C15" s="3"/>
    </row>
    <row r="16" spans="2:3" x14ac:dyDescent="0.3">
      <c r="B16" s="2"/>
      <c r="C16" s="3"/>
    </row>
    <row r="17" spans="2:13" x14ac:dyDescent="0.3">
      <c r="B17" s="64" t="s">
        <v>11</v>
      </c>
      <c r="C17" s="63">
        <f>'datos 24'!C19</f>
        <v>74.300978054596627</v>
      </c>
    </row>
    <row r="19" spans="2:13" ht="18" x14ac:dyDescent="0.35">
      <c r="B19" s="59" t="s">
        <v>20</v>
      </c>
      <c r="C19" s="60"/>
      <c r="D19" s="60"/>
      <c r="L19" s="59" t="s">
        <v>20</v>
      </c>
      <c r="M19" s="60"/>
    </row>
    <row r="20" spans="2:13" x14ac:dyDescent="0.3">
      <c r="C20" s="2" t="s">
        <v>32</v>
      </c>
      <c r="M20" s="2" t="s">
        <v>37</v>
      </c>
    </row>
    <row r="21" spans="2:13" x14ac:dyDescent="0.3">
      <c r="B21" s="2" t="s">
        <v>0</v>
      </c>
      <c r="C21" s="47">
        <f>'datos 24'!I5</f>
        <v>214.59238657911683</v>
      </c>
      <c r="L21" s="2" t="s">
        <v>0</v>
      </c>
      <c r="M21" s="22">
        <f>'datos 24'!N5</f>
        <v>6.1189730989197848</v>
      </c>
    </row>
    <row r="22" spans="2:13" x14ac:dyDescent="0.3">
      <c r="B22" s="2" t="s">
        <v>1</v>
      </c>
      <c r="C22" s="47">
        <f>'datos 24'!I6</f>
        <v>210.18844548155482</v>
      </c>
      <c r="L22" s="2" t="s">
        <v>1</v>
      </c>
      <c r="M22" s="22">
        <f>'datos 24'!N6</f>
        <v>5.9933973618920682</v>
      </c>
    </row>
    <row r="23" spans="2:13" x14ac:dyDescent="0.3">
      <c r="B23" s="2" t="s">
        <v>2</v>
      </c>
      <c r="C23" s="47">
        <f>'datos 24'!I7</f>
        <v>210.19054924709027</v>
      </c>
      <c r="L23" s="2" t="s">
        <v>2</v>
      </c>
      <c r="M23" s="22">
        <f>'datos 24'!N7</f>
        <v>5.9934573495035721</v>
      </c>
    </row>
    <row r="24" spans="2:13" x14ac:dyDescent="0.3">
      <c r="B24" s="2" t="s">
        <v>3</v>
      </c>
      <c r="C24" s="47"/>
      <c r="L24" s="2" t="s">
        <v>3</v>
      </c>
      <c r="M24" s="22"/>
    </row>
    <row r="25" spans="2:13" x14ac:dyDescent="0.3">
      <c r="B25" s="2" t="s">
        <v>4</v>
      </c>
      <c r="C25" s="47"/>
      <c r="L25" s="2" t="s">
        <v>4</v>
      </c>
      <c r="M25" s="22"/>
    </row>
    <row r="26" spans="2:13" x14ac:dyDescent="0.3">
      <c r="B26" s="2" t="s">
        <v>5</v>
      </c>
      <c r="C26" s="47"/>
      <c r="L26" s="2" t="s">
        <v>5</v>
      </c>
      <c r="M26" s="22"/>
    </row>
    <row r="27" spans="2:13" x14ac:dyDescent="0.3">
      <c r="B27" s="2" t="s">
        <v>6</v>
      </c>
      <c r="C27" s="47"/>
      <c r="L27" s="2" t="s">
        <v>6</v>
      </c>
      <c r="M27" s="22"/>
    </row>
    <row r="28" spans="2:13" x14ac:dyDescent="0.3">
      <c r="B28" s="2" t="s">
        <v>12</v>
      </c>
      <c r="C28" s="47"/>
      <c r="L28" s="2" t="s">
        <v>12</v>
      </c>
      <c r="M28" s="22"/>
    </row>
    <row r="29" spans="2:13" x14ac:dyDescent="0.3">
      <c r="B29" s="2" t="s">
        <v>13</v>
      </c>
      <c r="C29" s="47"/>
      <c r="L29" s="2" t="s">
        <v>13</v>
      </c>
      <c r="M29" s="22"/>
    </row>
    <row r="30" spans="2:13" x14ac:dyDescent="0.3">
      <c r="B30" s="2" t="s">
        <v>14</v>
      </c>
      <c r="C30" s="47"/>
      <c r="L30" s="2" t="s">
        <v>14</v>
      </c>
      <c r="M30" s="22"/>
    </row>
    <row r="31" spans="2:13" x14ac:dyDescent="0.3">
      <c r="B31" s="2" t="s">
        <v>15</v>
      </c>
      <c r="C31" s="47"/>
      <c r="L31" s="2" t="s">
        <v>15</v>
      </c>
      <c r="M31" s="22"/>
    </row>
    <row r="32" spans="2:13" x14ac:dyDescent="0.3">
      <c r="B32" s="2" t="s">
        <v>16</v>
      </c>
      <c r="C32" s="47"/>
      <c r="L32" s="2" t="s">
        <v>16</v>
      </c>
      <c r="M32" s="22"/>
    </row>
    <row r="33" spans="1:13" x14ac:dyDescent="0.3">
      <c r="B33" s="2"/>
      <c r="C33" s="4"/>
      <c r="L33" s="2"/>
      <c r="M33" s="22"/>
    </row>
    <row r="34" spans="1:13" x14ac:dyDescent="0.3">
      <c r="A34" s="60"/>
      <c r="B34" s="61" t="s">
        <v>18</v>
      </c>
      <c r="C34" s="63">
        <f>'datos 24'!I19</f>
        <v>182.7469164654826</v>
      </c>
      <c r="L34" s="61" t="s">
        <v>18</v>
      </c>
      <c r="M34" s="81">
        <f>'datos 24'!N19</f>
        <v>6.0700854919689053</v>
      </c>
    </row>
    <row r="35" spans="1:13" x14ac:dyDescent="0.3">
      <c r="B35" s="5"/>
      <c r="C35" s="6"/>
    </row>
    <row r="36" spans="1:13" ht="18" x14ac:dyDescent="0.35">
      <c r="B36" s="59" t="s">
        <v>21</v>
      </c>
    </row>
    <row r="37" spans="1:13" x14ac:dyDescent="0.3">
      <c r="C37" s="2" t="s">
        <v>25</v>
      </c>
    </row>
    <row r="38" spans="1:13" x14ac:dyDescent="0.3">
      <c r="B38" s="2" t="s">
        <v>0</v>
      </c>
      <c r="C38" s="4">
        <f>'datos 24'!K5</f>
        <v>7.0359159988719203E-3</v>
      </c>
    </row>
    <row r="39" spans="1:13" x14ac:dyDescent="0.3">
      <c r="B39" s="2" t="s">
        <v>1</v>
      </c>
      <c r="C39" s="4">
        <f>'datos 24'!K6</f>
        <v>5.8952637438260168E-3</v>
      </c>
    </row>
    <row r="40" spans="1:13" x14ac:dyDescent="0.3">
      <c r="B40" s="2" t="s">
        <v>2</v>
      </c>
      <c r="C40" s="4">
        <f>'datos 24'!K7</f>
        <v>9.1382790485793324E-3</v>
      </c>
    </row>
    <row r="41" spans="1:13" x14ac:dyDescent="0.3">
      <c r="B41" s="2" t="s">
        <v>3</v>
      </c>
      <c r="C41" s="4"/>
    </row>
    <row r="42" spans="1:13" x14ac:dyDescent="0.3">
      <c r="B42" s="2" t="s">
        <v>4</v>
      </c>
      <c r="C42" s="4"/>
    </row>
    <row r="43" spans="1:13" x14ac:dyDescent="0.3">
      <c r="B43" s="2" t="s">
        <v>5</v>
      </c>
      <c r="C43" s="4"/>
    </row>
    <row r="44" spans="1:13" x14ac:dyDescent="0.3">
      <c r="B44" s="2" t="s">
        <v>6</v>
      </c>
      <c r="C44" s="4"/>
    </row>
    <row r="45" spans="1:13" x14ac:dyDescent="0.3">
      <c r="B45" s="2" t="s">
        <v>12</v>
      </c>
      <c r="C45" s="4"/>
    </row>
    <row r="46" spans="1:13" x14ac:dyDescent="0.3">
      <c r="B46" s="2" t="s">
        <v>13</v>
      </c>
      <c r="C46" s="4"/>
    </row>
    <row r="47" spans="1:13" x14ac:dyDescent="0.3">
      <c r="B47" s="2" t="s">
        <v>14</v>
      </c>
      <c r="C47" s="4"/>
    </row>
    <row r="48" spans="1:13" x14ac:dyDescent="0.3">
      <c r="B48" s="2" t="s">
        <v>15</v>
      </c>
      <c r="C48" s="4"/>
    </row>
    <row r="49" spans="1:3" x14ac:dyDescent="0.3">
      <c r="B49" s="2" t="s">
        <v>16</v>
      </c>
      <c r="C49" s="4"/>
    </row>
    <row r="50" spans="1:3" x14ac:dyDescent="0.3">
      <c r="B50" s="2"/>
      <c r="C50" s="4"/>
    </row>
    <row r="51" spans="1:3" x14ac:dyDescent="0.3">
      <c r="A51" s="60"/>
      <c r="B51" s="61" t="s">
        <v>18</v>
      </c>
      <c r="C51" s="62">
        <f>'datos 24'!K19</f>
        <v>7.2825164768349892E-3</v>
      </c>
    </row>
  </sheetData>
  <pageMargins left="0.7" right="0.7" top="0.75" bottom="0.75" header="0.3" footer="0.3"/>
  <pageSetup orientation="landscape" horizontalDpi="4294967294" verticalDpi="4294967294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9692-E9E8-49DA-A830-70CF37426728}">
  <dimension ref="A2:P37"/>
  <sheetViews>
    <sheetView topLeftCell="A12" workbookViewId="0">
      <selection activeCell="D25" sqref="D25:D36"/>
    </sheetView>
  </sheetViews>
  <sheetFormatPr baseColWidth="10" defaultRowHeight="14.4" x14ac:dyDescent="0.3"/>
  <cols>
    <col min="3" max="8" width="11.6640625" customWidth="1"/>
    <col min="11" max="11" width="12.5546875" customWidth="1"/>
    <col min="13" max="13" width="12.44140625" bestFit="1" customWidth="1"/>
  </cols>
  <sheetData>
    <row r="2" spans="2:16" x14ac:dyDescent="0.3">
      <c r="B2" s="85" t="s">
        <v>43</v>
      </c>
    </row>
    <row r="3" spans="2:16" x14ac:dyDescent="0.3">
      <c r="B3" s="1"/>
      <c r="C3" s="2"/>
      <c r="N3" s="68" t="s">
        <v>29</v>
      </c>
      <c r="O3" s="68" t="s">
        <v>30</v>
      </c>
    </row>
    <row r="4" spans="2:16" x14ac:dyDescent="0.3">
      <c r="B4" s="83"/>
      <c r="C4" s="84" t="s">
        <v>31</v>
      </c>
      <c r="D4" s="84" t="s">
        <v>22</v>
      </c>
      <c r="E4" s="84" t="s">
        <v>8</v>
      </c>
      <c r="F4" s="84" t="s">
        <v>24</v>
      </c>
      <c r="G4" s="84" t="s">
        <v>23</v>
      </c>
      <c r="H4" s="84" t="s">
        <v>7</v>
      </c>
      <c r="I4" s="84" t="s">
        <v>32</v>
      </c>
      <c r="J4" s="84" t="s">
        <v>54</v>
      </c>
      <c r="K4" s="105" t="s">
        <v>47</v>
      </c>
      <c r="L4" s="84" t="s">
        <v>33</v>
      </c>
      <c r="M4" s="84" t="s">
        <v>27</v>
      </c>
      <c r="N4" s="84" t="s">
        <v>28</v>
      </c>
      <c r="O4" s="84" t="s">
        <v>28</v>
      </c>
    </row>
    <row r="5" spans="2:16" x14ac:dyDescent="0.3">
      <c r="B5" s="82" t="s">
        <v>0</v>
      </c>
      <c r="C5" s="74">
        <f>48.823+18.36</f>
        <v>67.182999999999993</v>
      </c>
      <c r="D5" s="99">
        <f>559213.74+210334</f>
        <v>769547.74</v>
      </c>
      <c r="E5" s="100">
        <v>1074</v>
      </c>
      <c r="F5" s="101">
        <f t="shared" ref="F5:F6" si="0">D5/E5</f>
        <v>716.52489757914338</v>
      </c>
      <c r="G5" s="99">
        <f>9729.92+(254877.72/1056.5)+3660</f>
        <v>13631.167250354945</v>
      </c>
      <c r="H5" s="86">
        <f t="shared" ref="H5" si="1">F5+G5</f>
        <v>14347.692147934089</v>
      </c>
      <c r="I5" s="87">
        <f t="shared" ref="I5" si="2">H5/C5</f>
        <v>213.56134956661791</v>
      </c>
      <c r="J5" s="75">
        <v>615394</v>
      </c>
      <c r="K5" s="88">
        <f t="shared" ref="K5:K10" si="3">H5/J5</f>
        <v>2.3314644192068964E-2</v>
      </c>
      <c r="L5" s="89">
        <f t="shared" ref="L5:L10" si="4">C5/J5</f>
        <v>1.0917071014667026E-4</v>
      </c>
      <c r="M5" s="90">
        <f t="shared" ref="M5" si="5">C5*35.07</f>
        <v>2356.10781</v>
      </c>
      <c r="N5" s="91">
        <f t="shared" ref="N5" si="6">H5/M5</f>
        <v>6.089573697365779</v>
      </c>
      <c r="O5" s="91">
        <f t="shared" ref="O5" si="7">G5/M5</f>
        <v>5.7854598980998864</v>
      </c>
    </row>
    <row r="6" spans="2:16" x14ac:dyDescent="0.3">
      <c r="B6" s="82" t="s">
        <v>1</v>
      </c>
      <c r="C6" s="74">
        <f>50.177+18.87</f>
        <v>69.046999999999997</v>
      </c>
      <c r="D6" s="99">
        <f>580480.08+218333</f>
        <v>798813.08</v>
      </c>
      <c r="E6" s="100">
        <v>1084</v>
      </c>
      <c r="F6" s="101">
        <f t="shared" si="0"/>
        <v>736.91243542435416</v>
      </c>
      <c r="G6" s="99">
        <f>9999.94+3761</f>
        <v>13760.94</v>
      </c>
      <c r="H6" s="86">
        <f t="shared" ref="H6" si="8">F6+G6</f>
        <v>14497.852435424355</v>
      </c>
      <c r="I6" s="87">
        <f t="shared" ref="I6" si="9">H6/C6</f>
        <v>209.97077983727542</v>
      </c>
      <c r="J6" s="75">
        <v>549630</v>
      </c>
      <c r="K6" s="88">
        <f t="shared" si="3"/>
        <v>2.6377476548631543E-2</v>
      </c>
      <c r="L6" s="89">
        <f t="shared" si="4"/>
        <v>1.2562451103469608E-4</v>
      </c>
      <c r="M6" s="90">
        <f t="shared" ref="M6" si="10">C6*35.07</f>
        <v>2421.47829</v>
      </c>
      <c r="N6" s="91">
        <f t="shared" ref="N6" si="11">H6/M6</f>
        <v>5.9871907566944795</v>
      </c>
      <c r="O6" s="91">
        <f t="shared" ref="O6" si="12">G6/M6</f>
        <v>5.6828673859388594</v>
      </c>
    </row>
    <row r="7" spans="2:16" x14ac:dyDescent="0.3">
      <c r="B7" s="82" t="s">
        <v>2</v>
      </c>
      <c r="C7" s="87">
        <f>20.597+54.762</f>
        <v>75.359000000000009</v>
      </c>
      <c r="D7" s="101">
        <f>240330.71+638964.43</f>
        <v>879295.14</v>
      </c>
      <c r="E7" s="102">
        <v>1094</v>
      </c>
      <c r="F7" s="101">
        <f t="shared" ref="F7" si="13">D7/E7</f>
        <v>803.74327239488116</v>
      </c>
      <c r="G7" s="99">
        <f>4105.26+10913.51</f>
        <v>15018.77</v>
      </c>
      <c r="H7" s="86">
        <f t="shared" ref="H7" si="14">F7+G7</f>
        <v>15822.513272394881</v>
      </c>
      <c r="I7" s="87">
        <f t="shared" ref="I7" si="15">H7/C7</f>
        <v>209.96182635643891</v>
      </c>
      <c r="J7" s="75">
        <v>571590</v>
      </c>
      <c r="K7" s="88">
        <f t="shared" si="3"/>
        <v>2.7681578180854951E-2</v>
      </c>
      <c r="L7" s="89">
        <f t="shared" si="4"/>
        <v>1.3184100491611122E-4</v>
      </c>
      <c r="M7" s="90">
        <f t="shared" ref="M7" si="16">C7*35.07</f>
        <v>2642.8401300000005</v>
      </c>
      <c r="N7" s="91">
        <f t="shared" ref="N7" si="17">H7/M7</f>
        <v>5.9869354535625572</v>
      </c>
      <c r="O7" s="91">
        <f t="shared" ref="O7" si="18">G7/M7</f>
        <v>5.6828144198037425</v>
      </c>
      <c r="P7" s="17"/>
    </row>
    <row r="8" spans="2:16" x14ac:dyDescent="0.3">
      <c r="B8" s="82" t="s">
        <v>3</v>
      </c>
      <c r="C8" s="39">
        <f>69.742+26.232</f>
        <v>95.974000000000004</v>
      </c>
      <c r="D8" s="103">
        <f>349425+929012</f>
        <v>1278437</v>
      </c>
      <c r="E8" s="102">
        <v>1114</v>
      </c>
      <c r="F8" s="101">
        <f t="shared" ref="F8" si="19">D8/E8</f>
        <v>1147.6095152603232</v>
      </c>
      <c r="G8" s="99">
        <f>13899+5228</f>
        <v>19127</v>
      </c>
      <c r="H8" s="86">
        <f t="shared" ref="H8" si="20">F8+G8</f>
        <v>20274.609515260323</v>
      </c>
      <c r="I8" s="87">
        <f t="shared" ref="I8" si="21">H8/C8</f>
        <v>211.25106294684312</v>
      </c>
      <c r="J8" s="75">
        <v>1805204</v>
      </c>
      <c r="K8" s="88">
        <f t="shared" si="3"/>
        <v>1.1231201302046929E-2</v>
      </c>
      <c r="L8" s="89">
        <f t="shared" si="4"/>
        <v>5.3165182439214631E-5</v>
      </c>
      <c r="M8" s="90">
        <f t="shared" ref="M8" si="22">C8*35.07</f>
        <v>3365.80818</v>
      </c>
      <c r="N8" s="91">
        <f t="shared" ref="N8" si="23">H8/M8</f>
        <v>6.0236972611018862</v>
      </c>
      <c r="O8" s="91">
        <f t="shared" ref="O8" si="24">G8/M8</f>
        <v>5.6827362039389895</v>
      </c>
    </row>
    <row r="9" spans="2:16" x14ac:dyDescent="0.3">
      <c r="B9" s="82" t="s">
        <v>4</v>
      </c>
      <c r="C9" s="39">
        <f>30.848+82.94</f>
        <v>113.788</v>
      </c>
      <c r="D9" s="103">
        <f>438388.39+1165538.05</f>
        <v>1603926.44</v>
      </c>
      <c r="E9" s="104">
        <v>1188.5</v>
      </c>
      <c r="F9" s="101">
        <f t="shared" ref="F9" si="25">D9/E9</f>
        <v>1349.5384434160705</v>
      </c>
      <c r="G9" s="99">
        <f>16344.66+6147.64</f>
        <v>22492.3</v>
      </c>
      <c r="H9" s="86">
        <f t="shared" ref="H9" si="26">F9+G9</f>
        <v>23841.838443416069</v>
      </c>
      <c r="I9" s="87">
        <f t="shared" ref="I9" si="27">H9/C9</f>
        <v>209.52858336042527</v>
      </c>
      <c r="J9" s="75">
        <v>2818877</v>
      </c>
      <c r="K9" s="88">
        <f t="shared" si="3"/>
        <v>8.4579208115203568E-3</v>
      </c>
      <c r="L9" s="89">
        <f t="shared" si="4"/>
        <v>4.0366429610089405E-5</v>
      </c>
      <c r="M9" s="90">
        <f t="shared" ref="M9" si="28">C9*35.07</f>
        <v>3990.5451600000001</v>
      </c>
      <c r="N9" s="91">
        <f t="shared" ref="N9" si="29">H9/M9</f>
        <v>5.9745817895758551</v>
      </c>
      <c r="O9" s="91">
        <f t="shared" ref="O9" si="30">G9/M9</f>
        <v>5.6363978098671605</v>
      </c>
    </row>
    <row r="10" spans="2:16" x14ac:dyDescent="0.3">
      <c r="B10" s="82" t="s">
        <v>5</v>
      </c>
      <c r="C10" s="39">
        <f>78.557+29.547</f>
        <v>108.104</v>
      </c>
      <c r="D10" s="9">
        <f>1218167.82+458183.78</f>
        <v>1676351.6</v>
      </c>
      <c r="E10" s="10">
        <v>1213</v>
      </c>
      <c r="F10" s="101">
        <f t="shared" ref="F10" si="31">D10/E10</f>
        <v>1381.9881286067603</v>
      </c>
      <c r="G10" s="99">
        <f>15655.67+5888.49</f>
        <v>21544.16</v>
      </c>
      <c r="H10" s="86">
        <f t="shared" ref="H10" si="32">F10+G10</f>
        <v>22926.148128606761</v>
      </c>
      <c r="I10" s="87">
        <f t="shared" ref="I10" si="33">H10/C10</f>
        <v>212.07492903691593</v>
      </c>
      <c r="J10" s="75">
        <v>2804727</v>
      </c>
      <c r="K10" s="88">
        <f t="shared" si="3"/>
        <v>8.1741103959874738E-3</v>
      </c>
      <c r="L10" s="89">
        <f t="shared" si="4"/>
        <v>3.8543501738315351E-5</v>
      </c>
      <c r="M10" s="90">
        <f t="shared" ref="M10" si="34">C10*35.07</f>
        <v>3791.2072800000001</v>
      </c>
      <c r="N10" s="91">
        <f t="shared" ref="N10" si="35">H10/M10</f>
        <v>6.0471893081527215</v>
      </c>
      <c r="O10" s="91">
        <f t="shared" ref="O10" si="36">G10/M10</f>
        <v>5.6826647579132104</v>
      </c>
    </row>
    <row r="11" spans="2:16" x14ac:dyDescent="0.3">
      <c r="B11" s="82" t="s">
        <v>6</v>
      </c>
      <c r="C11" s="39">
        <f>25.47+67.716</f>
        <v>93.185999999999993</v>
      </c>
      <c r="D11" s="9">
        <f>427330+1136139.41</f>
        <v>1563469.41</v>
      </c>
      <c r="E11" s="10">
        <v>1360</v>
      </c>
      <c r="F11" s="101">
        <f t="shared" ref="F11:F14" si="37">D11/E11</f>
        <v>1149.6098602941177</v>
      </c>
      <c r="G11" s="99">
        <f>5076.41+13495.22</f>
        <v>18571.629999999997</v>
      </c>
      <c r="H11" s="86">
        <f t="shared" ref="H11:H13" si="38">F11+G11</f>
        <v>19721.239860294114</v>
      </c>
      <c r="I11" s="87">
        <f t="shared" ref="I11:I12" si="39">H11/C11</f>
        <v>211.63307643094581</v>
      </c>
      <c r="J11" s="75">
        <v>3024982</v>
      </c>
      <c r="K11" s="88">
        <f t="shared" ref="K11" si="40">H11/J11</f>
        <v>6.5194569290971368E-3</v>
      </c>
      <c r="L11" s="89">
        <f t="shared" ref="L11" si="41">C11/J11</f>
        <v>3.0805472561489621E-5</v>
      </c>
      <c r="M11" s="90">
        <f t="shared" ref="M11" si="42">C11*35.07</f>
        <v>3268.0330199999999</v>
      </c>
      <c r="N11" s="91">
        <f t="shared" ref="N11" si="43">H11/M11</f>
        <v>6.03459014630584</v>
      </c>
      <c r="O11" s="91">
        <f t="shared" ref="O11" si="44">G11/M11</f>
        <v>5.6828158976190508</v>
      </c>
    </row>
    <row r="12" spans="2:16" x14ac:dyDescent="0.3">
      <c r="B12" s="82" t="s">
        <v>12</v>
      </c>
      <c r="C12" s="39">
        <f>66.765+25.112</f>
        <v>91.876999999999995</v>
      </c>
      <c r="D12" s="9">
        <f>1243937.52+465399.13</f>
        <v>1709336.65</v>
      </c>
      <c r="E12" s="10">
        <v>1409</v>
      </c>
      <c r="F12" s="9">
        <f t="shared" si="37"/>
        <v>1213.1558907026258</v>
      </c>
      <c r="G12" s="9">
        <f>5005.11+13305.71</f>
        <v>18310.82</v>
      </c>
      <c r="H12" s="86">
        <f t="shared" si="38"/>
        <v>19523.975890702626</v>
      </c>
      <c r="I12" s="87">
        <f t="shared" si="39"/>
        <v>212.50123415765236</v>
      </c>
      <c r="J12" s="75">
        <v>3040436</v>
      </c>
      <c r="K12" s="88">
        <f t="shared" ref="K12" si="45">H12/J12</f>
        <v>6.4214395207472302E-3</v>
      </c>
      <c r="L12" s="89">
        <f t="shared" ref="L12" si="46">C12/J12</f>
        <v>3.0218363418930706E-5</v>
      </c>
      <c r="M12" s="90">
        <f t="shared" ref="M12" si="47">C12*35.07</f>
        <v>3222.1263899999999</v>
      </c>
      <c r="N12" s="91">
        <f t="shared" ref="N12" si="48">H12/M12</f>
        <v>6.0593451427902014</v>
      </c>
      <c r="O12" s="91">
        <f t="shared" ref="O12" si="49">G12/M12</f>
        <v>5.6828372893218511</v>
      </c>
    </row>
    <row r="13" spans="2:16" x14ac:dyDescent="0.3">
      <c r="B13" s="82" t="s">
        <v>13</v>
      </c>
      <c r="C13" s="39">
        <f>25.092+66.712</f>
        <v>91.804000000000002</v>
      </c>
      <c r="D13" s="9">
        <f>1292821+486262.79</f>
        <v>1779083.79</v>
      </c>
      <c r="E13" s="10">
        <v>1430</v>
      </c>
      <c r="F13" s="9">
        <f t="shared" si="37"/>
        <v>1244.1145384615386</v>
      </c>
      <c r="G13" s="9">
        <f>5000.85+13295.16</f>
        <v>18296.010000000002</v>
      </c>
      <c r="H13" s="86">
        <f t="shared" si="38"/>
        <v>19540.124538461539</v>
      </c>
      <c r="I13" s="87">
        <f t="shared" ref="I13:I14" si="50">H13/C13</f>
        <v>212.84611278878413</v>
      </c>
      <c r="J13" s="75">
        <v>2896236</v>
      </c>
      <c r="K13" s="88">
        <f t="shared" ref="K13" si="51">H13/J13</f>
        <v>6.7467307700275593E-3</v>
      </c>
      <c r="L13" s="89">
        <f t="shared" ref="L13" si="52">C13/J13</f>
        <v>3.1697693143790769E-5</v>
      </c>
      <c r="M13" s="90">
        <f t="shared" ref="M13" si="53">C13*35.07</f>
        <v>3219.56628</v>
      </c>
      <c r="N13" s="91">
        <f t="shared" ref="N13" si="54">H13/M13</f>
        <v>6.069179149951073</v>
      </c>
      <c r="O13" s="91">
        <f t="shared" ref="O13" si="55">G13/M13</f>
        <v>5.6827561257723209</v>
      </c>
    </row>
    <row r="14" spans="2:16" x14ac:dyDescent="0.3">
      <c r="B14" s="82" t="s">
        <v>14</v>
      </c>
      <c r="C14" s="39">
        <f>63.125+23.743</f>
        <v>86.867999999999995</v>
      </c>
      <c r="D14" s="9">
        <f>1243431.03+467685.9</f>
        <v>1711116.9300000002</v>
      </c>
      <c r="E14" s="10">
        <v>1412</v>
      </c>
      <c r="F14" s="9">
        <f t="shared" si="37"/>
        <v>1211.839185552408</v>
      </c>
      <c r="G14" s="9">
        <f>5000.85+13295.16</f>
        <v>18296.010000000002</v>
      </c>
      <c r="H14" s="86">
        <f t="shared" ref="H14" si="56">F14+G14</f>
        <v>19507.849185552412</v>
      </c>
      <c r="I14" s="87">
        <f t="shared" si="50"/>
        <v>224.56887675038465</v>
      </c>
      <c r="J14" s="75">
        <v>2715838</v>
      </c>
      <c r="K14" s="88">
        <f t="shared" ref="K14" si="57">H14/J14</f>
        <v>7.1829944148187087E-3</v>
      </c>
      <c r="L14" s="89">
        <f t="shared" ref="L14" si="58">C14/J14</f>
        <v>3.1985707542202439E-5</v>
      </c>
      <c r="M14" s="90">
        <f t="shared" ref="M14" si="59">C14*35.07</f>
        <v>3046.4607599999999</v>
      </c>
      <c r="N14" s="91">
        <f t="shared" ref="N14" si="60">H14/M14</f>
        <v>6.403446727983594</v>
      </c>
      <c r="O14" s="91">
        <f t="shared" ref="O14" si="61">G14/M14</f>
        <v>6.0056608114656962</v>
      </c>
    </row>
    <row r="15" spans="2:16" x14ac:dyDescent="0.3">
      <c r="B15" s="82" t="s">
        <v>15</v>
      </c>
      <c r="C15" s="39">
        <f>23.352+62.087</f>
        <v>85.439000000000007</v>
      </c>
      <c r="D15" s="9">
        <f>1278417+480485</f>
        <v>1758902</v>
      </c>
      <c r="E15" s="10">
        <v>1435</v>
      </c>
      <c r="F15" s="9">
        <f t="shared" ref="F15:F16" si="62">D15/E15</f>
        <v>1225.7156794425086</v>
      </c>
      <c r="G15" s="9">
        <f>12373.38+4653.94</f>
        <v>17027.32</v>
      </c>
      <c r="H15" s="86">
        <f t="shared" ref="H15" si="63">F15+G15</f>
        <v>18253.03567944251</v>
      </c>
      <c r="I15" s="87">
        <f t="shared" ref="I15" si="64">H15/C15</f>
        <v>213.63821766924366</v>
      </c>
      <c r="J15" s="9">
        <v>1933070</v>
      </c>
      <c r="K15" s="88">
        <f t="shared" ref="K15" si="65">H15/J15</f>
        <v>9.4425114866210271E-3</v>
      </c>
      <c r="L15" s="89">
        <f t="shared" ref="L15" si="66">C15/J15</f>
        <v>4.4198606361901024E-5</v>
      </c>
      <c r="M15" s="90">
        <f t="shared" ref="M15" si="67">C15*35.07</f>
        <v>2996.3457300000005</v>
      </c>
      <c r="N15" s="91">
        <f t="shared" ref="N15" si="68">H15/M15</f>
        <v>6.0917655451737565</v>
      </c>
      <c r="O15" s="91">
        <f t="shared" ref="O15" si="69">G15/M15</f>
        <v>5.6826953677338157</v>
      </c>
    </row>
    <row r="16" spans="2:16" x14ac:dyDescent="0.3">
      <c r="B16" s="82" t="s">
        <v>16</v>
      </c>
      <c r="C16" s="39">
        <f>15.629+41.552</f>
        <v>57.180999999999997</v>
      </c>
      <c r="D16" s="9">
        <f>341988.2+909239.98</f>
        <v>1251228.18</v>
      </c>
      <c r="E16" s="10">
        <v>1464</v>
      </c>
      <c r="F16" s="9">
        <f t="shared" si="62"/>
        <v>854.66405737704918</v>
      </c>
      <c r="G16" s="9">
        <f>8280.87+3114.65</f>
        <v>11395.52</v>
      </c>
      <c r="H16" s="86">
        <f t="shared" ref="H16" si="70">F16+G16</f>
        <v>12250.18405737705</v>
      </c>
      <c r="I16" s="87">
        <f t="shared" ref="I16" si="71">H16/C16</f>
        <v>214.23521899541893</v>
      </c>
      <c r="J16" s="9">
        <f>1094280+321269</f>
        <v>1415549</v>
      </c>
      <c r="K16" s="88">
        <f t="shared" ref="K16" si="72">H16/J16</f>
        <v>8.6540162561501224E-3</v>
      </c>
      <c r="L16" s="89">
        <f t="shared" ref="L16" si="73">C16/J16</f>
        <v>4.0394928045585136E-5</v>
      </c>
      <c r="M16" s="90">
        <f t="shared" ref="M16" si="74">C16*35.07</f>
        <v>2005.3376699999999</v>
      </c>
      <c r="N16" s="91">
        <f t="shared" ref="N16" si="75">H16/M16</f>
        <v>6.1087886796526645</v>
      </c>
      <c r="O16" s="91">
        <f t="shared" ref="O16" si="76">G16/M16</f>
        <v>5.6825940939911632</v>
      </c>
    </row>
    <row r="18" spans="1:15" x14ac:dyDescent="0.3">
      <c r="B18" s="13" t="s">
        <v>17</v>
      </c>
      <c r="C18" s="46">
        <f>SUM(C5:C16)</f>
        <v>1035.81</v>
      </c>
      <c r="D18" s="46"/>
      <c r="E18" s="46"/>
      <c r="F18" s="46">
        <f>SUM(F5:F16)</f>
        <v>13035.415904511781</v>
      </c>
      <c r="G18" s="46">
        <f>SUM(G5:G16)</f>
        <v>207471.64725035496</v>
      </c>
      <c r="H18" s="46">
        <f>SUM(H5:H16)</f>
        <v>220507.06315486674</v>
      </c>
      <c r="I18" s="46"/>
      <c r="J18" s="46">
        <f>SUM(J5:J16)</f>
        <v>24191533</v>
      </c>
      <c r="K18" s="15"/>
      <c r="L18" s="15"/>
      <c r="M18" s="119">
        <f t="shared" ref="M18" si="77">C18*35.07</f>
        <v>36325.856699999997</v>
      </c>
      <c r="N18" s="69"/>
      <c r="O18" s="70"/>
    </row>
    <row r="19" spans="1:15" x14ac:dyDescent="0.3">
      <c r="A19" s="20" t="s">
        <v>18</v>
      </c>
      <c r="B19" s="20"/>
      <c r="C19" s="65">
        <f>(C5*J5+C6*J6+C7*J7+C8*J8+C9*J9+C10*J10+C11*J11+C12*J12+C13*J13+C14*J14+C15*J15+C16*J16)/J18</f>
        <v>92.128004130742767</v>
      </c>
      <c r="D19" s="15"/>
      <c r="E19" s="15"/>
      <c r="F19" s="15"/>
      <c r="G19" s="15"/>
      <c r="H19" s="46">
        <f>(H5*C5+H6*C6+H7*C7+H8*C8+H9*C9+H10*C10+H11*C11+H12*C12+H13*C13+H14*C14+H15*C15+H16*C16)/C18</f>
        <v>18994.311617769134</v>
      </c>
      <c r="I19" s="66">
        <f>(I5*C5+I6*C6+I7*C7+I8*C8+I9*C9+I10*C10+I11*C11+I12*C12+I13*C13+I14*C14+I15*C15+16*C16)/C18</f>
        <v>201.94029319806694</v>
      </c>
      <c r="J19" s="2"/>
      <c r="K19" s="16">
        <f>(K5*J5+K6*J6+K7*J7+K8*J8+K9*J9+K10*J10+K11*J11+K12*J12+K13*J13+K14*J14+K15*J15+K16*J16)/J18</f>
        <v>9.1150512518105714E-3</v>
      </c>
      <c r="L19" s="41">
        <f>(L5*J5+L6*J6+L7*J7+L8*J8+L9*J9+L10*J10+L11*L11+L12*J12+L13*J13+L14*J14+L15*J15+J16*L16)/J18</f>
        <v>3.8965037891602356E-5</v>
      </c>
      <c r="M19" s="51"/>
      <c r="N19" s="70">
        <f>H18/M18</f>
        <v>6.0702508677480624</v>
      </c>
      <c r="O19" s="70">
        <f>G18/M18</f>
        <v>5.7114041098542065</v>
      </c>
    </row>
    <row r="22" spans="1:15" x14ac:dyDescent="0.3">
      <c r="B22" s="85" t="s">
        <v>43</v>
      </c>
    </row>
    <row r="23" spans="1:15" x14ac:dyDescent="0.3">
      <c r="B23" s="1"/>
      <c r="C23" s="2"/>
      <c r="H23" s="26"/>
      <c r="I23" s="26"/>
      <c r="J23" s="26"/>
      <c r="K23" s="26"/>
      <c r="L23" s="26"/>
    </row>
    <row r="24" spans="1:15" x14ac:dyDescent="0.3">
      <c r="B24" s="83"/>
      <c r="C24" s="84" t="s">
        <v>31</v>
      </c>
      <c r="D24" s="84" t="s">
        <v>7</v>
      </c>
      <c r="E24" s="84" t="s">
        <v>32</v>
      </c>
      <c r="F24" s="84" t="s">
        <v>53</v>
      </c>
      <c r="G24" s="105" t="s">
        <v>47</v>
      </c>
      <c r="H24" s="112"/>
      <c r="I24" s="112"/>
      <c r="J24" s="112"/>
      <c r="K24" s="113"/>
      <c r="L24" s="112"/>
    </row>
    <row r="25" spans="1:15" x14ac:dyDescent="0.3">
      <c r="B25" s="82" t="s">
        <v>0</v>
      </c>
      <c r="C25" s="74">
        <f t="shared" ref="C25:C36" si="78">C5</f>
        <v>67.182999999999993</v>
      </c>
      <c r="D25" s="86">
        <f>H5</f>
        <v>14347.692147934089</v>
      </c>
      <c r="E25" s="87">
        <f>I5</f>
        <v>213.56134956661791</v>
      </c>
      <c r="F25" s="75">
        <f>J5</f>
        <v>615394</v>
      </c>
      <c r="G25" s="88">
        <f>K5</f>
        <v>2.3314644192068964E-2</v>
      </c>
      <c r="H25" s="114"/>
      <c r="I25" s="115"/>
      <c r="J25" s="116"/>
      <c r="K25" s="117"/>
      <c r="L25" s="118"/>
    </row>
    <row r="26" spans="1:15" x14ac:dyDescent="0.3">
      <c r="B26" s="82" t="s">
        <v>1</v>
      </c>
      <c r="C26" s="74">
        <f t="shared" si="78"/>
        <v>69.046999999999997</v>
      </c>
      <c r="D26" s="86">
        <f t="shared" ref="D26:D30" si="79">H6</f>
        <v>14497.852435424355</v>
      </c>
      <c r="E26" s="87">
        <f t="shared" ref="E26:G26" si="80">I6</f>
        <v>209.97077983727542</v>
      </c>
      <c r="F26" s="75">
        <f t="shared" si="80"/>
        <v>549630</v>
      </c>
      <c r="G26" s="88">
        <f t="shared" si="80"/>
        <v>2.6377476548631543E-2</v>
      </c>
      <c r="H26" s="114"/>
      <c r="I26" s="115"/>
      <c r="J26" s="116"/>
      <c r="K26" s="117"/>
      <c r="L26" s="118"/>
    </row>
    <row r="27" spans="1:15" x14ac:dyDescent="0.3">
      <c r="B27" s="82" t="s">
        <v>2</v>
      </c>
      <c r="C27" s="74">
        <f t="shared" si="78"/>
        <v>75.359000000000009</v>
      </c>
      <c r="D27" s="86">
        <f t="shared" si="79"/>
        <v>15822.513272394881</v>
      </c>
      <c r="E27" s="87">
        <f t="shared" ref="E27:G27" si="81">I7</f>
        <v>209.96182635643891</v>
      </c>
      <c r="F27" s="75">
        <f t="shared" si="81"/>
        <v>571590</v>
      </c>
      <c r="G27" s="88">
        <f t="shared" si="81"/>
        <v>2.7681578180854951E-2</v>
      </c>
      <c r="H27" s="114"/>
      <c r="I27" s="115"/>
      <c r="J27" s="116"/>
      <c r="K27" s="117"/>
      <c r="L27" s="118"/>
    </row>
    <row r="28" spans="1:15" x14ac:dyDescent="0.3">
      <c r="B28" s="82" t="s">
        <v>3</v>
      </c>
      <c r="C28" s="74">
        <f t="shared" si="78"/>
        <v>95.974000000000004</v>
      </c>
      <c r="D28" s="86">
        <f t="shared" si="79"/>
        <v>20274.609515260323</v>
      </c>
      <c r="E28" s="87">
        <f t="shared" ref="E28:G28" si="82">I8</f>
        <v>211.25106294684312</v>
      </c>
      <c r="F28" s="75">
        <f t="shared" si="82"/>
        <v>1805204</v>
      </c>
      <c r="G28" s="88">
        <f t="shared" si="82"/>
        <v>1.1231201302046929E-2</v>
      </c>
      <c r="H28" s="114"/>
      <c r="I28" s="115"/>
      <c r="J28" s="116"/>
      <c r="K28" s="117"/>
      <c r="L28" s="118"/>
    </row>
    <row r="29" spans="1:15" x14ac:dyDescent="0.3">
      <c r="B29" s="82" t="s">
        <v>4</v>
      </c>
      <c r="C29" s="74">
        <f t="shared" si="78"/>
        <v>113.788</v>
      </c>
      <c r="D29" s="86">
        <f t="shared" si="79"/>
        <v>23841.838443416069</v>
      </c>
      <c r="E29" s="87">
        <f t="shared" ref="E29:G29" si="83">I9</f>
        <v>209.52858336042527</v>
      </c>
      <c r="F29" s="75">
        <f t="shared" si="83"/>
        <v>2818877</v>
      </c>
      <c r="G29" s="88">
        <f t="shared" si="83"/>
        <v>8.4579208115203568E-3</v>
      </c>
      <c r="H29" s="114"/>
      <c r="I29" s="115"/>
      <c r="J29" s="28"/>
      <c r="K29" s="117"/>
      <c r="L29" s="118"/>
    </row>
    <row r="30" spans="1:15" x14ac:dyDescent="0.3">
      <c r="B30" s="82" t="s">
        <v>5</v>
      </c>
      <c r="C30" s="74">
        <f t="shared" si="78"/>
        <v>108.104</v>
      </c>
      <c r="D30" s="86">
        <f t="shared" si="79"/>
        <v>22926.148128606761</v>
      </c>
      <c r="E30" s="87">
        <f t="shared" ref="E30" si="84">I10</f>
        <v>212.07492903691593</v>
      </c>
      <c r="F30" s="75">
        <f t="shared" ref="F30" si="85">J10</f>
        <v>2804727</v>
      </c>
      <c r="G30" s="88">
        <f t="shared" ref="G30" si="86">K10</f>
        <v>8.1741103959874738E-3</v>
      </c>
      <c r="H30" s="26"/>
      <c r="I30" s="115"/>
      <c r="J30" s="26"/>
      <c r="K30" s="26"/>
      <c r="L30" s="26"/>
    </row>
    <row r="31" spans="1:15" x14ac:dyDescent="0.3">
      <c r="B31" s="82" t="s">
        <v>6</v>
      </c>
      <c r="C31" s="74">
        <f t="shared" si="78"/>
        <v>93.185999999999993</v>
      </c>
      <c r="D31" s="86">
        <f t="shared" ref="D31" si="87">H11</f>
        <v>19721.239860294114</v>
      </c>
      <c r="E31" s="87">
        <f t="shared" ref="E31" si="88">I11</f>
        <v>211.63307643094581</v>
      </c>
      <c r="F31" s="75">
        <v>3024982</v>
      </c>
      <c r="G31" s="88">
        <f t="shared" ref="G31" si="89">K11</f>
        <v>6.5194569290971368E-3</v>
      </c>
      <c r="I31" s="115"/>
    </row>
    <row r="32" spans="1:15" x14ac:dyDescent="0.3">
      <c r="B32" s="82" t="s">
        <v>12</v>
      </c>
      <c r="C32" s="74">
        <f t="shared" si="78"/>
        <v>91.876999999999995</v>
      </c>
      <c r="D32" s="86">
        <f t="shared" ref="D32" si="90">H12</f>
        <v>19523.975890702626</v>
      </c>
      <c r="E32" s="87">
        <f t="shared" ref="E32" si="91">I12</f>
        <v>212.50123415765236</v>
      </c>
      <c r="F32" s="75">
        <v>3040436</v>
      </c>
      <c r="G32" s="88">
        <f t="shared" ref="G32" si="92">K12</f>
        <v>6.4214395207472302E-3</v>
      </c>
      <c r="I32" s="115"/>
    </row>
    <row r="33" spans="1:9" x14ac:dyDescent="0.3">
      <c r="B33" s="82" t="s">
        <v>13</v>
      </c>
      <c r="C33" s="74">
        <f t="shared" si="78"/>
        <v>91.804000000000002</v>
      </c>
      <c r="D33" s="86">
        <f t="shared" ref="D33" si="93">H13</f>
        <v>19540.124538461539</v>
      </c>
      <c r="E33" s="87">
        <f t="shared" ref="E33" si="94">I13</f>
        <v>212.84611278878413</v>
      </c>
      <c r="F33" s="75">
        <v>2896236</v>
      </c>
      <c r="G33" s="88">
        <f t="shared" ref="G33" si="95">K13</f>
        <v>6.7467307700275593E-3</v>
      </c>
      <c r="I33" s="115"/>
    </row>
    <row r="34" spans="1:9" x14ac:dyDescent="0.3">
      <c r="B34" s="82" t="s">
        <v>14</v>
      </c>
      <c r="C34" s="74">
        <f t="shared" si="78"/>
        <v>86.867999999999995</v>
      </c>
      <c r="D34" s="86">
        <f t="shared" ref="D34" si="96">H14</f>
        <v>19507.849185552412</v>
      </c>
      <c r="E34" s="87">
        <f t="shared" ref="E34" si="97">I14</f>
        <v>224.56887675038465</v>
      </c>
      <c r="F34" s="75">
        <v>2715838</v>
      </c>
      <c r="G34" s="88">
        <f t="shared" ref="G34" si="98">K14</f>
        <v>7.1829944148187087E-3</v>
      </c>
      <c r="I34" s="115"/>
    </row>
    <row r="35" spans="1:9" x14ac:dyDescent="0.3">
      <c r="B35" s="82" t="s">
        <v>15</v>
      </c>
      <c r="C35" s="74">
        <f t="shared" si="78"/>
        <v>85.439000000000007</v>
      </c>
      <c r="D35" s="86">
        <f t="shared" ref="D35" si="99">H15</f>
        <v>18253.03567944251</v>
      </c>
      <c r="E35" s="87">
        <f t="shared" ref="E35" si="100">I15</f>
        <v>213.63821766924366</v>
      </c>
      <c r="F35" s="75">
        <v>1933070</v>
      </c>
      <c r="G35" s="88">
        <f t="shared" ref="G35" si="101">K15</f>
        <v>9.4425114866210271E-3</v>
      </c>
      <c r="I35" s="115"/>
    </row>
    <row r="36" spans="1:9" x14ac:dyDescent="0.3">
      <c r="B36" s="82" t="s">
        <v>16</v>
      </c>
      <c r="C36" s="74">
        <f t="shared" si="78"/>
        <v>57.180999999999997</v>
      </c>
      <c r="D36" s="86">
        <f t="shared" ref="D36" si="102">H16</f>
        <v>12250.18405737705</v>
      </c>
      <c r="E36" s="87">
        <f t="shared" ref="E36" si="103">I16</f>
        <v>214.23521899541893</v>
      </c>
      <c r="F36" s="75">
        <f>J16</f>
        <v>1415549</v>
      </c>
      <c r="G36" s="88">
        <f t="shared" ref="G36" si="104">K16</f>
        <v>8.6540162561501224E-3</v>
      </c>
      <c r="I36" s="115"/>
    </row>
    <row r="37" spans="1:9" x14ac:dyDescent="0.3">
      <c r="A37" s="1"/>
      <c r="B37" s="1" t="s">
        <v>52</v>
      </c>
      <c r="C37" s="1"/>
      <c r="D37" s="1"/>
      <c r="E37" s="120">
        <f>I19</f>
        <v>201.94029319806694</v>
      </c>
      <c r="F37" s="1"/>
      <c r="G37" s="121">
        <f>K19</f>
        <v>9.1150512518105714E-3</v>
      </c>
    </row>
  </sheetData>
  <pageMargins left="0.11811023622047245" right="0.11811023622047245" top="0.74803149606299213" bottom="0.74803149606299213" header="0.31496062992125984" footer="0.31496062992125984"/>
  <pageSetup paperSize="9" scale="90" orientation="landscape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497A-49B1-4D33-B88F-5F4E996B95AD}">
  <dimension ref="A1:M51"/>
  <sheetViews>
    <sheetView workbookViewId="0">
      <selection activeCell="F17" sqref="F17"/>
    </sheetView>
  </sheetViews>
  <sheetFormatPr baseColWidth="10" defaultRowHeight="14.4" x14ac:dyDescent="0.3"/>
  <sheetData>
    <row r="1" spans="2:3" ht="18" x14ac:dyDescent="0.35">
      <c r="B1" s="92" t="s">
        <v>46</v>
      </c>
      <c r="C1" s="93"/>
    </row>
    <row r="3" spans="2:3" x14ac:dyDescent="0.3">
      <c r="C3" s="2" t="s">
        <v>31</v>
      </c>
    </row>
    <row r="4" spans="2:3" x14ac:dyDescent="0.3">
      <c r="B4" s="2" t="s">
        <v>0</v>
      </c>
      <c r="C4" s="47">
        <f>'datos 25'!C5</f>
        <v>67.182999999999993</v>
      </c>
    </row>
    <row r="5" spans="2:3" x14ac:dyDescent="0.3">
      <c r="B5" s="2" t="s">
        <v>1</v>
      </c>
      <c r="C5" s="47">
        <f>'datos 25'!C6</f>
        <v>69.046999999999997</v>
      </c>
    </row>
    <row r="6" spans="2:3" x14ac:dyDescent="0.3">
      <c r="B6" s="2" t="s">
        <v>2</v>
      </c>
      <c r="C6" s="47">
        <f>'datos 25'!C7</f>
        <v>75.359000000000009</v>
      </c>
    </row>
    <row r="7" spans="2:3" x14ac:dyDescent="0.3">
      <c r="B7" s="2" t="s">
        <v>3</v>
      </c>
      <c r="C7" s="47">
        <f>'datos 25'!C8</f>
        <v>95.974000000000004</v>
      </c>
    </row>
    <row r="8" spans="2:3" x14ac:dyDescent="0.3">
      <c r="B8" s="2" t="s">
        <v>4</v>
      </c>
      <c r="C8" s="47">
        <f>'datos 25'!C9</f>
        <v>113.788</v>
      </c>
    </row>
    <row r="9" spans="2:3" x14ac:dyDescent="0.3">
      <c r="B9" s="2" t="s">
        <v>5</v>
      </c>
      <c r="C9" s="47">
        <f>'datos 25'!C10</f>
        <v>108.104</v>
      </c>
    </row>
    <row r="10" spans="2:3" x14ac:dyDescent="0.3">
      <c r="B10" s="2" t="s">
        <v>6</v>
      </c>
      <c r="C10" s="47">
        <f>'datos 25'!C11</f>
        <v>93.185999999999993</v>
      </c>
    </row>
    <row r="11" spans="2:3" x14ac:dyDescent="0.3">
      <c r="B11" s="2" t="s">
        <v>12</v>
      </c>
      <c r="C11" s="47">
        <f>'datos 25'!C12</f>
        <v>91.876999999999995</v>
      </c>
    </row>
    <row r="12" spans="2:3" x14ac:dyDescent="0.3">
      <c r="B12" s="2" t="s">
        <v>13</v>
      </c>
      <c r="C12" s="47">
        <f>'datos 25'!C13</f>
        <v>91.804000000000002</v>
      </c>
    </row>
    <row r="13" spans="2:3" x14ac:dyDescent="0.3">
      <c r="B13" s="2" t="s">
        <v>14</v>
      </c>
      <c r="C13" s="47">
        <f>'datos 25'!C14</f>
        <v>86.867999999999995</v>
      </c>
    </row>
    <row r="14" spans="2:3" x14ac:dyDescent="0.3">
      <c r="B14" s="2" t="s">
        <v>15</v>
      </c>
      <c r="C14" s="47">
        <f>'datos 25'!C15</f>
        <v>85.439000000000007</v>
      </c>
    </row>
    <row r="15" spans="2:3" x14ac:dyDescent="0.3">
      <c r="B15" s="2" t="s">
        <v>16</v>
      </c>
      <c r="C15" s="47">
        <f>'datos 25'!C16</f>
        <v>57.180999999999997</v>
      </c>
    </row>
    <row r="16" spans="2:3" x14ac:dyDescent="0.3">
      <c r="B16" s="2"/>
      <c r="C16" s="3"/>
    </row>
    <row r="17" spans="2:13" x14ac:dyDescent="0.3">
      <c r="B17" s="98" t="s">
        <v>11</v>
      </c>
      <c r="C17" s="96">
        <f>'datos 25'!C19</f>
        <v>92.128004130742767</v>
      </c>
    </row>
    <row r="19" spans="2:13" ht="18" x14ac:dyDescent="0.35">
      <c r="B19" s="92" t="s">
        <v>20</v>
      </c>
      <c r="C19" s="60"/>
      <c r="D19" s="60"/>
      <c r="L19" s="92" t="s">
        <v>20</v>
      </c>
      <c r="M19" s="60"/>
    </row>
    <row r="20" spans="2:13" x14ac:dyDescent="0.3">
      <c r="C20" s="2" t="s">
        <v>32</v>
      </c>
      <c r="M20" s="2" t="s">
        <v>37</v>
      </c>
    </row>
    <row r="21" spans="2:13" x14ac:dyDescent="0.3">
      <c r="B21" s="2" t="s">
        <v>0</v>
      </c>
      <c r="C21" s="47">
        <f>'datos 25'!I5</f>
        <v>213.56134956661791</v>
      </c>
      <c r="L21" s="2" t="s">
        <v>0</v>
      </c>
      <c r="M21" s="22">
        <f>'datos 25'!N5</f>
        <v>6.089573697365779</v>
      </c>
    </row>
    <row r="22" spans="2:13" x14ac:dyDescent="0.3">
      <c r="B22" s="2" t="s">
        <v>1</v>
      </c>
      <c r="C22" s="47">
        <f>'datos 25'!I6</f>
        <v>209.97077983727542</v>
      </c>
      <c r="L22" s="2" t="s">
        <v>1</v>
      </c>
      <c r="M22" s="22">
        <f>'datos 25'!N6</f>
        <v>5.9871907566944795</v>
      </c>
    </row>
    <row r="23" spans="2:13" x14ac:dyDescent="0.3">
      <c r="B23" s="2" t="s">
        <v>2</v>
      </c>
      <c r="C23" s="47">
        <f>'datos 25'!I7</f>
        <v>209.96182635643891</v>
      </c>
      <c r="L23" s="2" t="s">
        <v>2</v>
      </c>
      <c r="M23" s="22">
        <f>'datos 25'!N7</f>
        <v>5.9869354535625572</v>
      </c>
    </row>
    <row r="24" spans="2:13" x14ac:dyDescent="0.3">
      <c r="B24" s="2" t="s">
        <v>3</v>
      </c>
      <c r="C24" s="47">
        <f>'datos 25'!I8</f>
        <v>211.25106294684312</v>
      </c>
      <c r="L24" s="2" t="s">
        <v>3</v>
      </c>
      <c r="M24" s="22">
        <f>'datos 25'!N8</f>
        <v>6.0236972611018862</v>
      </c>
    </row>
    <row r="25" spans="2:13" x14ac:dyDescent="0.3">
      <c r="B25" s="2" t="s">
        <v>4</v>
      </c>
      <c r="C25" s="47">
        <f>'datos 25'!I9</f>
        <v>209.52858336042527</v>
      </c>
      <c r="L25" s="2" t="s">
        <v>4</v>
      </c>
      <c r="M25" s="22">
        <f>'datos 25'!N9</f>
        <v>5.9745817895758551</v>
      </c>
    </row>
    <row r="26" spans="2:13" x14ac:dyDescent="0.3">
      <c r="B26" s="2" t="s">
        <v>5</v>
      </c>
      <c r="C26" s="47">
        <f>'datos 25'!I10</f>
        <v>212.07492903691593</v>
      </c>
      <c r="L26" s="2" t="s">
        <v>5</v>
      </c>
      <c r="M26" s="22">
        <f>'datos 25'!N10</f>
        <v>6.0471893081527215</v>
      </c>
    </row>
    <row r="27" spans="2:13" x14ac:dyDescent="0.3">
      <c r="B27" s="2" t="s">
        <v>6</v>
      </c>
      <c r="C27" s="47">
        <f>'datos 25'!I11</f>
        <v>211.63307643094581</v>
      </c>
      <c r="L27" s="2" t="s">
        <v>6</v>
      </c>
      <c r="M27" s="22">
        <f>'datos 25'!N11</f>
        <v>6.03459014630584</v>
      </c>
    </row>
    <row r="28" spans="2:13" x14ac:dyDescent="0.3">
      <c r="B28" s="2" t="s">
        <v>12</v>
      </c>
      <c r="C28" s="47">
        <f>'datos 25'!I12</f>
        <v>212.50123415765236</v>
      </c>
      <c r="L28" s="2" t="s">
        <v>12</v>
      </c>
      <c r="M28" s="22">
        <f>'datos 25'!N12</f>
        <v>6.0593451427902014</v>
      </c>
    </row>
    <row r="29" spans="2:13" x14ac:dyDescent="0.3">
      <c r="B29" s="2" t="s">
        <v>13</v>
      </c>
      <c r="C29" s="47">
        <f>'datos 25'!I13</f>
        <v>212.84611278878413</v>
      </c>
      <c r="L29" s="2" t="s">
        <v>13</v>
      </c>
      <c r="M29" s="22">
        <f>'datos 25'!N13</f>
        <v>6.069179149951073</v>
      </c>
    </row>
    <row r="30" spans="2:13" x14ac:dyDescent="0.3">
      <c r="B30" s="2" t="s">
        <v>14</v>
      </c>
      <c r="C30" s="47">
        <f>'datos 25'!I14</f>
        <v>224.56887675038465</v>
      </c>
      <c r="L30" s="2" t="s">
        <v>14</v>
      </c>
      <c r="M30" s="22">
        <f>'datos 25'!N14</f>
        <v>6.403446727983594</v>
      </c>
    </row>
    <row r="31" spans="2:13" x14ac:dyDescent="0.3">
      <c r="B31" s="2" t="s">
        <v>15</v>
      </c>
      <c r="C31" s="47">
        <f>'datos 25'!I15</f>
        <v>213.63821766924366</v>
      </c>
      <c r="L31" s="2" t="s">
        <v>15</v>
      </c>
      <c r="M31" s="22">
        <f>'datos 25'!N15</f>
        <v>6.0917655451737565</v>
      </c>
    </row>
    <row r="32" spans="2:13" x14ac:dyDescent="0.3">
      <c r="B32" s="2" t="s">
        <v>16</v>
      </c>
      <c r="C32" s="47">
        <f>'datos 25'!I16</f>
        <v>214.23521899541893</v>
      </c>
      <c r="L32" s="2" t="s">
        <v>16</v>
      </c>
      <c r="M32" s="22">
        <f>'datos 25'!N16</f>
        <v>6.1087886796526645</v>
      </c>
    </row>
    <row r="33" spans="1:13" x14ac:dyDescent="0.3">
      <c r="B33" s="2"/>
      <c r="C33" s="4"/>
      <c r="L33" s="2"/>
      <c r="M33" s="22"/>
    </row>
    <row r="34" spans="1:13" x14ac:dyDescent="0.3">
      <c r="A34" s="60"/>
      <c r="B34" s="94" t="s">
        <v>18</v>
      </c>
      <c r="C34" s="96">
        <f>'datos 25'!I19</f>
        <v>201.94029319806694</v>
      </c>
      <c r="L34" s="94" t="s">
        <v>18</v>
      </c>
      <c r="M34" s="97">
        <f>'datos 25'!N19</f>
        <v>6.0702508677480624</v>
      </c>
    </row>
    <row r="35" spans="1:13" x14ac:dyDescent="0.3">
      <c r="B35" s="5"/>
      <c r="C35" s="6"/>
    </row>
    <row r="36" spans="1:13" ht="18" x14ac:dyDescent="0.35">
      <c r="B36" s="92" t="s">
        <v>21</v>
      </c>
    </row>
    <row r="37" spans="1:13" x14ac:dyDescent="0.3">
      <c r="C37" s="2" t="s">
        <v>25</v>
      </c>
    </row>
    <row r="38" spans="1:13" x14ac:dyDescent="0.3">
      <c r="B38" s="2" t="s">
        <v>0</v>
      </c>
      <c r="C38" s="4">
        <f>'datos 25'!K5</f>
        <v>2.3314644192068964E-2</v>
      </c>
    </row>
    <row r="39" spans="1:13" x14ac:dyDescent="0.3">
      <c r="B39" s="2" t="s">
        <v>1</v>
      </c>
      <c r="C39" s="4">
        <f>'datos 25'!K6</f>
        <v>2.6377476548631543E-2</v>
      </c>
    </row>
    <row r="40" spans="1:13" x14ac:dyDescent="0.3">
      <c r="B40" s="2" t="s">
        <v>2</v>
      </c>
      <c r="C40" s="4">
        <f>'datos 25'!K7</f>
        <v>2.7681578180854951E-2</v>
      </c>
    </row>
    <row r="41" spans="1:13" x14ac:dyDescent="0.3">
      <c r="B41" s="2" t="s">
        <v>3</v>
      </c>
      <c r="C41" s="4">
        <f>'datos 25'!K8</f>
        <v>1.1231201302046929E-2</v>
      </c>
    </row>
    <row r="42" spans="1:13" x14ac:dyDescent="0.3">
      <c r="B42" s="2" t="s">
        <v>4</v>
      </c>
      <c r="C42" s="4">
        <f>'datos 25'!K9</f>
        <v>8.4579208115203568E-3</v>
      </c>
    </row>
    <row r="43" spans="1:13" x14ac:dyDescent="0.3">
      <c r="B43" s="2" t="s">
        <v>5</v>
      </c>
      <c r="C43" s="4">
        <f>'datos 25'!K10</f>
        <v>8.1741103959874738E-3</v>
      </c>
    </row>
    <row r="44" spans="1:13" x14ac:dyDescent="0.3">
      <c r="B44" s="2" t="s">
        <v>6</v>
      </c>
      <c r="C44" s="4">
        <f>'datos 25'!K11</f>
        <v>6.5194569290971368E-3</v>
      </c>
    </row>
    <row r="45" spans="1:13" x14ac:dyDescent="0.3">
      <c r="B45" s="2" t="s">
        <v>12</v>
      </c>
      <c r="C45" s="4">
        <f>'datos 25'!K12</f>
        <v>6.4214395207472302E-3</v>
      </c>
    </row>
    <row r="46" spans="1:13" x14ac:dyDescent="0.3">
      <c r="B46" s="2" t="s">
        <v>13</v>
      </c>
      <c r="C46" s="4">
        <f>'datos 25'!K13</f>
        <v>6.7467307700275593E-3</v>
      </c>
    </row>
    <row r="47" spans="1:13" x14ac:dyDescent="0.3">
      <c r="B47" s="2" t="s">
        <v>14</v>
      </c>
      <c r="C47" s="4">
        <f>'datos 25'!K14</f>
        <v>7.1829944148187087E-3</v>
      </c>
    </row>
    <row r="48" spans="1:13" x14ac:dyDescent="0.3">
      <c r="B48" s="2" t="s">
        <v>15</v>
      </c>
      <c r="C48" s="4">
        <f>'datos 25'!K15</f>
        <v>9.4425114866210271E-3</v>
      </c>
    </row>
    <row r="49" spans="1:3" x14ac:dyDescent="0.3">
      <c r="B49" s="2" t="s">
        <v>16</v>
      </c>
      <c r="C49" s="4">
        <f>'datos 25'!K16</f>
        <v>8.6540162561501224E-3</v>
      </c>
    </row>
    <row r="50" spans="1:3" x14ac:dyDescent="0.3">
      <c r="B50" s="2"/>
      <c r="C50" s="4"/>
    </row>
    <row r="51" spans="1:3" x14ac:dyDescent="0.3">
      <c r="A51" s="93"/>
      <c r="B51" s="94" t="s">
        <v>18</v>
      </c>
      <c r="C51" s="95">
        <f>'datos 25'!K19</f>
        <v>9.1150512518105714E-3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2055-A69C-49D6-8CF6-5D6656CCA3D8}">
  <dimension ref="A2:O38"/>
  <sheetViews>
    <sheetView topLeftCell="A13" workbookViewId="0">
      <selection activeCell="K34" sqref="K34"/>
    </sheetView>
  </sheetViews>
  <sheetFormatPr baseColWidth="10" defaultRowHeight="14.4" x14ac:dyDescent="0.3"/>
  <sheetData>
    <row r="2" spans="2:15" x14ac:dyDescent="0.3">
      <c r="B2" s="85" t="s">
        <v>55</v>
      </c>
    </row>
    <row r="3" spans="2:15" x14ac:dyDescent="0.3">
      <c r="B3" s="1"/>
      <c r="C3" s="2"/>
      <c r="J3" s="127" t="s">
        <v>60</v>
      </c>
      <c r="N3" s="68" t="s">
        <v>29</v>
      </c>
      <c r="O3" s="68" t="s">
        <v>30</v>
      </c>
    </row>
    <row r="4" spans="2:15" x14ac:dyDescent="0.3">
      <c r="B4" s="83"/>
      <c r="C4" s="84" t="s">
        <v>31</v>
      </c>
      <c r="D4" s="84" t="s">
        <v>22</v>
      </c>
      <c r="E4" s="84" t="s">
        <v>8</v>
      </c>
      <c r="F4" s="84" t="s">
        <v>24</v>
      </c>
      <c r="G4" s="84" t="s">
        <v>23</v>
      </c>
      <c r="H4" s="84" t="s">
        <v>7</v>
      </c>
      <c r="I4" s="84" t="s">
        <v>32</v>
      </c>
      <c r="J4" s="84" t="s">
        <v>54</v>
      </c>
      <c r="K4" s="105" t="s">
        <v>47</v>
      </c>
      <c r="L4" s="84" t="s">
        <v>33</v>
      </c>
      <c r="M4" s="84" t="s">
        <v>27</v>
      </c>
      <c r="N4" s="84" t="s">
        <v>28</v>
      </c>
      <c r="O4" s="84" t="s">
        <v>28</v>
      </c>
    </row>
    <row r="5" spans="2:15" x14ac:dyDescent="0.3">
      <c r="B5" s="82" t="s">
        <v>0</v>
      </c>
      <c r="C5" s="74">
        <f>43.665+16.424</f>
        <v>60.088999999999999</v>
      </c>
      <c r="D5" s="99">
        <f>941133.8+353984.25</f>
        <v>1295118.05</v>
      </c>
      <c r="E5" s="100">
        <v>1470</v>
      </c>
      <c r="F5" s="101">
        <f t="shared" ref="F5:F16" si="0">D5/E5</f>
        <v>881.03268707482994</v>
      </c>
      <c r="G5" s="99">
        <f>8702.12+3273.09</f>
        <v>11975.210000000001</v>
      </c>
      <c r="H5" s="86">
        <f t="shared" ref="H5:H16" si="1">F5+G5</f>
        <v>12856.242687074831</v>
      </c>
      <c r="I5" s="87">
        <f t="shared" ref="I5:I7" si="2">H5/C5</f>
        <v>213.9533473193901</v>
      </c>
      <c r="J5" s="75">
        <f>931160+262742</f>
        <v>1193902</v>
      </c>
      <c r="K5" s="88">
        <f t="shared" ref="K5" si="3">H5/J5</f>
        <v>1.0768256261464368E-2</v>
      </c>
      <c r="L5" s="89">
        <f t="shared" ref="L5" si="4">C5/J5</f>
        <v>5.032992657688822E-5</v>
      </c>
      <c r="M5" s="90">
        <f t="shared" ref="M5:M16" si="5">C5*35.07</f>
        <v>2107.32123</v>
      </c>
      <c r="N5" s="91">
        <f t="shared" ref="N5:N16" si="6">H5/M5</f>
        <v>6.1007512779980066</v>
      </c>
      <c r="O5" s="91">
        <f t="shared" ref="O5:O16" si="7">G5/M5</f>
        <v>5.6826694618361531</v>
      </c>
    </row>
    <row r="6" spans="2:15" x14ac:dyDescent="0.3">
      <c r="B6" s="82" t="s">
        <v>1</v>
      </c>
      <c r="C6" s="74">
        <f>82336.02/1000</f>
        <v>82.336020000000005</v>
      </c>
      <c r="D6" s="99">
        <f>476295.69+2496269.08</f>
        <v>2972564.77</v>
      </c>
      <c r="E6" s="100">
        <v>1425</v>
      </c>
      <c r="F6" s="101">
        <f t="shared" si="0"/>
        <v>2086.0103649122807</v>
      </c>
      <c r="G6" s="99">
        <f>4484.89+11923.93</f>
        <v>16408.82</v>
      </c>
      <c r="H6" s="86">
        <f t="shared" si="1"/>
        <v>18494.830364912279</v>
      </c>
      <c r="I6" s="87">
        <f t="shared" si="2"/>
        <v>224.62623727637404</v>
      </c>
      <c r="J6" s="75">
        <v>1331328</v>
      </c>
      <c r="K6" s="88">
        <f t="shared" ref="K6" si="8">H6/J6</f>
        <v>1.3892016366299123E-2</v>
      </c>
      <c r="L6" s="89">
        <f t="shared" ref="L6" si="9">C6/J6</f>
        <v>6.1845029925007217E-5</v>
      </c>
      <c r="M6" s="90">
        <f t="shared" si="5"/>
        <v>2887.5242214</v>
      </c>
      <c r="N6" s="91">
        <f t="shared" si="6"/>
        <v>6.4050823289527816</v>
      </c>
      <c r="O6" s="91">
        <f t="shared" si="7"/>
        <v>5.6826605568850521</v>
      </c>
    </row>
    <row r="7" spans="2:15" x14ac:dyDescent="0.3">
      <c r="B7" s="82" t="s">
        <v>2</v>
      </c>
      <c r="C7" s="87">
        <f>84.199+31.669</f>
        <v>115.86799999999999</v>
      </c>
      <c r="D7" s="101">
        <f>670271.13+1782042.03</f>
        <v>2452313.16</v>
      </c>
      <c r="E7" s="102">
        <v>1387.5</v>
      </c>
      <c r="F7" s="101">
        <f t="shared" si="0"/>
        <v>1767.4329081081082</v>
      </c>
      <c r="G7" s="99">
        <f>6311.4+16780.06</f>
        <v>23091.46</v>
      </c>
      <c r="H7" s="86">
        <f t="shared" si="1"/>
        <v>24858.892908108108</v>
      </c>
      <c r="I7" s="87">
        <f t="shared" si="2"/>
        <v>214.54493827552136</v>
      </c>
      <c r="J7" s="75">
        <v>1788182</v>
      </c>
      <c r="K7" s="88">
        <f t="shared" ref="K7" si="10">H7/J7</f>
        <v>1.3901768896067687E-2</v>
      </c>
      <c r="L7" s="89">
        <f t="shared" ref="L7" si="11">C7/J7</f>
        <v>6.4796536370458933E-5</v>
      </c>
      <c r="M7" s="90">
        <f t="shared" si="5"/>
        <v>4063.4907599999997</v>
      </c>
      <c r="N7" s="91">
        <f t="shared" si="6"/>
        <v>6.1176201390225655</v>
      </c>
      <c r="O7" s="91">
        <f t="shared" si="7"/>
        <v>5.6826658072676413</v>
      </c>
    </row>
    <row r="8" spans="2:15" x14ac:dyDescent="0.3">
      <c r="B8" s="82" t="s">
        <v>3</v>
      </c>
      <c r="C8" s="39"/>
      <c r="D8" s="103"/>
      <c r="E8" s="102"/>
      <c r="F8" s="101"/>
      <c r="G8" s="99"/>
      <c r="H8" s="86"/>
      <c r="I8" s="87"/>
      <c r="J8" s="75"/>
      <c r="K8" s="88"/>
      <c r="L8" s="89"/>
      <c r="M8" s="90">
        <f t="shared" si="5"/>
        <v>0</v>
      </c>
      <c r="N8" s="91"/>
      <c r="O8" s="91"/>
    </row>
    <row r="9" spans="2:15" x14ac:dyDescent="0.3">
      <c r="B9" s="82" t="s">
        <v>4</v>
      </c>
      <c r="C9" s="39"/>
      <c r="D9" s="103"/>
      <c r="E9" s="104"/>
      <c r="F9" s="101"/>
      <c r="G9" s="99"/>
      <c r="H9" s="86"/>
      <c r="I9" s="87"/>
      <c r="J9" s="75"/>
      <c r="K9" s="88"/>
      <c r="L9" s="89"/>
      <c r="M9" s="90">
        <f t="shared" si="5"/>
        <v>0</v>
      </c>
      <c r="N9" s="91"/>
      <c r="O9" s="91"/>
    </row>
    <row r="10" spans="2:15" x14ac:dyDescent="0.3">
      <c r="B10" s="82" t="s">
        <v>5</v>
      </c>
      <c r="C10" s="39"/>
      <c r="D10" s="9"/>
      <c r="E10" s="10"/>
      <c r="F10" s="101"/>
      <c r="G10" s="99"/>
      <c r="H10" s="86"/>
      <c r="I10" s="87"/>
      <c r="J10" s="75"/>
      <c r="K10" s="88"/>
      <c r="L10" s="89"/>
      <c r="M10" s="90">
        <f t="shared" si="5"/>
        <v>0</v>
      </c>
      <c r="N10" s="91"/>
      <c r="O10" s="91"/>
    </row>
    <row r="11" spans="2:15" x14ac:dyDescent="0.3">
      <c r="B11" s="82" t="s">
        <v>6</v>
      </c>
      <c r="C11" s="39"/>
      <c r="D11" s="9"/>
      <c r="E11" s="10"/>
      <c r="F11" s="101"/>
      <c r="G11" s="99"/>
      <c r="H11" s="86"/>
      <c r="I11" s="87"/>
      <c r="J11" s="75"/>
      <c r="K11" s="88"/>
      <c r="L11" s="89"/>
      <c r="M11" s="90">
        <f t="shared" si="5"/>
        <v>0</v>
      </c>
      <c r="N11" s="91"/>
      <c r="O11" s="91"/>
    </row>
    <row r="12" spans="2:15" x14ac:dyDescent="0.3">
      <c r="B12" s="82" t="s">
        <v>12</v>
      </c>
      <c r="C12" s="39"/>
      <c r="D12" s="9"/>
      <c r="E12" s="10"/>
      <c r="F12" s="9"/>
      <c r="G12" s="9"/>
      <c r="H12" s="86"/>
      <c r="I12" s="87"/>
      <c r="J12" s="75"/>
      <c r="K12" s="88"/>
      <c r="L12" s="89"/>
      <c r="M12" s="90">
        <f t="shared" si="5"/>
        <v>0</v>
      </c>
      <c r="N12" s="91"/>
      <c r="O12" s="91"/>
    </row>
    <row r="13" spans="2:15" x14ac:dyDescent="0.3">
      <c r="B13" s="82" t="s">
        <v>13</v>
      </c>
      <c r="C13" s="39"/>
      <c r="D13" s="9"/>
      <c r="E13" s="10"/>
      <c r="F13" s="9"/>
      <c r="G13" s="9"/>
      <c r="H13" s="86"/>
      <c r="I13" s="87"/>
      <c r="J13" s="75"/>
      <c r="K13" s="88"/>
      <c r="L13" s="89"/>
      <c r="M13" s="90">
        <f t="shared" si="5"/>
        <v>0</v>
      </c>
      <c r="N13" s="91"/>
      <c r="O13" s="91"/>
    </row>
    <row r="14" spans="2:15" x14ac:dyDescent="0.3">
      <c r="B14" s="82" t="s">
        <v>14</v>
      </c>
      <c r="C14" s="39"/>
      <c r="D14" s="9"/>
      <c r="E14" s="10"/>
      <c r="F14" s="9"/>
      <c r="G14" s="9"/>
      <c r="H14" s="86"/>
      <c r="I14" s="87"/>
      <c r="J14" s="75"/>
      <c r="K14" s="88"/>
      <c r="L14" s="89"/>
      <c r="M14" s="90">
        <f t="shared" si="5"/>
        <v>0</v>
      </c>
      <c r="N14" s="91"/>
      <c r="O14" s="91"/>
    </row>
    <row r="15" spans="2:15" x14ac:dyDescent="0.3">
      <c r="B15" s="82" t="s">
        <v>15</v>
      </c>
      <c r="C15" s="39"/>
      <c r="D15" s="9"/>
      <c r="E15" s="10"/>
      <c r="F15" s="9"/>
      <c r="G15" s="9"/>
      <c r="H15" s="86"/>
      <c r="I15" s="87"/>
      <c r="J15" s="9"/>
      <c r="K15" s="88"/>
      <c r="L15" s="89"/>
      <c r="M15" s="90">
        <f t="shared" si="5"/>
        <v>0</v>
      </c>
      <c r="N15" s="91"/>
      <c r="O15" s="91"/>
    </row>
    <row r="16" spans="2:15" x14ac:dyDescent="0.3">
      <c r="B16" s="82" t="s">
        <v>16</v>
      </c>
      <c r="C16" s="39"/>
      <c r="D16" s="9"/>
      <c r="E16" s="10"/>
      <c r="F16" s="9"/>
      <c r="G16" s="9"/>
      <c r="H16" s="86"/>
      <c r="I16" s="87"/>
      <c r="J16" s="9"/>
      <c r="K16" s="88"/>
      <c r="L16" s="89"/>
      <c r="M16" s="90">
        <f t="shared" si="5"/>
        <v>0</v>
      </c>
      <c r="N16" s="91"/>
      <c r="O16" s="91"/>
    </row>
    <row r="18" spans="1:15" x14ac:dyDescent="0.3">
      <c r="B18" s="13" t="s">
        <v>17</v>
      </c>
      <c r="C18" s="46">
        <f>SUM(C5:C16)</f>
        <v>258.29302000000001</v>
      </c>
      <c r="D18" s="46"/>
      <c r="E18" s="46"/>
      <c r="F18" s="46">
        <f>SUM(F5:F16)</f>
        <v>4734.4759600952184</v>
      </c>
      <c r="G18" s="46">
        <f>SUM(G5:G16)</f>
        <v>51475.49</v>
      </c>
      <c r="H18" s="46">
        <f>SUM(H5:H16)</f>
        <v>56209.965960095215</v>
      </c>
      <c r="I18" s="46"/>
      <c r="J18" s="46">
        <f>SUM(J5:J16)</f>
        <v>4313412</v>
      </c>
      <c r="K18" s="15"/>
      <c r="L18" s="15"/>
      <c r="M18" s="119">
        <f t="shared" ref="M18" si="12">C18*35.07</f>
        <v>9058.336211400001</v>
      </c>
      <c r="N18" s="69"/>
      <c r="O18" s="70"/>
    </row>
    <row r="19" spans="1:15" x14ac:dyDescent="0.3">
      <c r="A19" s="20" t="s">
        <v>18</v>
      </c>
      <c r="B19" s="20"/>
      <c r="C19" s="65">
        <f>(C5*J5+C6*J6+C7*J7+C8*J8+C9*J9+C10*J10+C11*J11+C12*J12+C13*J13+C14*J14+C15*J15+C16*J16)/J18</f>
        <v>90.079430874806292</v>
      </c>
      <c r="D19" s="15"/>
      <c r="E19" s="15"/>
      <c r="F19" s="15"/>
      <c r="G19" s="15"/>
      <c r="H19" s="46">
        <f>(H5*C5+H6*C6+H7*C7+H8*C8+H9*C9+H10*C10+H11*C11+H12*C12+H13*C13+H14*C14+H15*C15+H16*C16)/C18</f>
        <v>20037.938667960654</v>
      </c>
      <c r="I19" s="66">
        <f>(I5*C5+I6*C6+I7*C7+I8*C8+I9*C9+I10*C10+I11*C11+I12*C12+I13*C13+I14*C14+I15*C15+16*C16)/C18</f>
        <v>217.62092510318402</v>
      </c>
      <c r="J19" s="2"/>
      <c r="K19" s="16">
        <f>(K5*J5+K6*J6+K7*J7+K8*J8+K9*J9+K10*J10+K11*J11+K12*J12+K13*J13+K14*J14+K15*J15+K16*J16)/J18</f>
        <v>1.3031439139153694E-2</v>
      </c>
      <c r="L19" s="41">
        <f>(L5*J5+L6*J6+L7*J7+L8*J8+L9*J9+L10*J10+L11*L11+L12*J12+L13*J13+L14*J14+L15*J15+J16*L16)/J18</f>
        <v>5.9881370015199109E-5</v>
      </c>
      <c r="M19" s="51"/>
      <c r="N19" s="70">
        <f>H18/M18</f>
        <v>6.2053300571195891</v>
      </c>
      <c r="O19" s="70">
        <f>G18/M18</f>
        <v>5.6826649837988583</v>
      </c>
    </row>
    <row r="22" spans="1:15" x14ac:dyDescent="0.3">
      <c r="B22" s="85" t="s">
        <v>55</v>
      </c>
    </row>
    <row r="23" spans="1:15" x14ac:dyDescent="0.3">
      <c r="B23" s="1"/>
      <c r="C23" s="2"/>
      <c r="I23" s="68" t="s">
        <v>29</v>
      </c>
      <c r="J23" s="26"/>
      <c r="K23" s="26"/>
      <c r="L23" s="26"/>
    </row>
    <row r="24" spans="1:15" x14ac:dyDescent="0.3">
      <c r="B24" s="83"/>
      <c r="C24" s="84" t="s">
        <v>31</v>
      </c>
      <c r="D24" s="84" t="s">
        <v>7</v>
      </c>
      <c r="E24" s="84" t="s">
        <v>32</v>
      </c>
      <c r="F24" s="84" t="s">
        <v>53</v>
      </c>
      <c r="G24" s="105" t="s">
        <v>47</v>
      </c>
      <c r="H24" s="84" t="s">
        <v>27</v>
      </c>
      <c r="I24" s="84" t="s">
        <v>28</v>
      </c>
      <c r="J24" s="112"/>
      <c r="K24" s="113"/>
      <c r="L24" s="112"/>
    </row>
    <row r="25" spans="1:15" x14ac:dyDescent="0.3">
      <c r="B25" s="82" t="s">
        <v>0</v>
      </c>
      <c r="C25" s="74">
        <f t="shared" ref="C25:C28" si="13">C5</f>
        <v>60.088999999999999</v>
      </c>
      <c r="D25" s="86">
        <f t="shared" ref="D25:G26" si="14">H5</f>
        <v>12856.242687074831</v>
      </c>
      <c r="E25" s="87">
        <f t="shared" si="14"/>
        <v>213.9533473193901</v>
      </c>
      <c r="F25" s="75">
        <f t="shared" si="14"/>
        <v>1193902</v>
      </c>
      <c r="G25" s="88">
        <f t="shared" si="14"/>
        <v>1.0768256261464368E-2</v>
      </c>
      <c r="H25" s="90">
        <f>C25*35.07</f>
        <v>2107.32123</v>
      </c>
      <c r="I25" s="91">
        <f>D25/H25</f>
        <v>6.1007512779980066</v>
      </c>
      <c r="J25" s="116"/>
      <c r="K25" s="117"/>
      <c r="L25" s="118"/>
    </row>
    <row r="26" spans="1:15" x14ac:dyDescent="0.3">
      <c r="B26" s="82" t="s">
        <v>1</v>
      </c>
      <c r="C26" s="74">
        <f t="shared" si="13"/>
        <v>82.336020000000005</v>
      </c>
      <c r="D26" s="86">
        <f t="shared" si="14"/>
        <v>18494.830364912279</v>
      </c>
      <c r="E26" s="87">
        <f t="shared" si="14"/>
        <v>224.62623727637404</v>
      </c>
      <c r="F26" s="75">
        <f t="shared" si="14"/>
        <v>1331328</v>
      </c>
      <c r="G26" s="88">
        <f t="shared" si="14"/>
        <v>1.3892016366299123E-2</v>
      </c>
      <c r="H26" s="90">
        <f>C26*35.07</f>
        <v>2887.5242214</v>
      </c>
      <c r="I26" s="91">
        <f>D26/H26</f>
        <v>6.4050823289527816</v>
      </c>
      <c r="J26" s="116"/>
      <c r="K26" s="117"/>
      <c r="L26" s="118"/>
    </row>
    <row r="27" spans="1:15" x14ac:dyDescent="0.3">
      <c r="B27" s="82" t="s">
        <v>2</v>
      </c>
      <c r="C27" s="74">
        <f t="shared" si="13"/>
        <v>115.86799999999999</v>
      </c>
      <c r="D27" s="86">
        <f t="shared" ref="D27" si="15">H7</f>
        <v>24858.892908108108</v>
      </c>
      <c r="E27" s="87">
        <f t="shared" ref="E27" si="16">I7</f>
        <v>214.54493827552136</v>
      </c>
      <c r="F27" s="75">
        <f t="shared" ref="F27" si="17">J7</f>
        <v>1788182</v>
      </c>
      <c r="G27" s="88">
        <f t="shared" ref="G27" si="18">K7</f>
        <v>1.3901768896067687E-2</v>
      </c>
      <c r="H27" s="90">
        <f>C27*35.07</f>
        <v>4063.4907599999997</v>
      </c>
      <c r="I27" s="91">
        <f>D27/H27</f>
        <v>6.1176201390225655</v>
      </c>
      <c r="J27" s="116"/>
      <c r="K27" s="117"/>
      <c r="L27" s="118"/>
    </row>
    <row r="28" spans="1:15" x14ac:dyDescent="0.3">
      <c r="B28" s="82" t="s">
        <v>3</v>
      </c>
      <c r="C28" s="74"/>
      <c r="D28" s="86"/>
      <c r="E28" s="87"/>
      <c r="F28" s="75"/>
      <c r="G28" s="88"/>
      <c r="H28" s="90"/>
      <c r="I28" s="91"/>
      <c r="J28" s="116"/>
      <c r="K28" s="117"/>
      <c r="L28" s="118"/>
    </row>
    <row r="29" spans="1:15" x14ac:dyDescent="0.3">
      <c r="B29" s="82" t="s">
        <v>4</v>
      </c>
      <c r="C29" s="74"/>
      <c r="D29" s="86"/>
      <c r="E29" s="87"/>
      <c r="F29" s="75"/>
      <c r="G29" s="88"/>
      <c r="H29" s="90"/>
      <c r="I29" s="91"/>
      <c r="J29" s="28"/>
      <c r="K29" s="117"/>
      <c r="L29" s="118"/>
    </row>
    <row r="30" spans="1:15" x14ac:dyDescent="0.3">
      <c r="B30" s="82" t="s">
        <v>5</v>
      </c>
      <c r="C30" s="74"/>
      <c r="D30" s="86"/>
      <c r="E30" s="87"/>
      <c r="F30" s="75"/>
      <c r="G30" s="88"/>
      <c r="H30" s="90"/>
      <c r="I30" s="91"/>
      <c r="J30" s="26"/>
      <c r="K30" s="26"/>
      <c r="L30" s="26"/>
    </row>
    <row r="31" spans="1:15" x14ac:dyDescent="0.3">
      <c r="B31" s="82" t="s">
        <v>6</v>
      </c>
      <c r="C31" s="74"/>
      <c r="D31" s="86"/>
      <c r="E31" s="87"/>
      <c r="F31" s="75"/>
      <c r="G31" s="88"/>
      <c r="H31" s="90"/>
      <c r="I31" s="91"/>
    </row>
    <row r="32" spans="1:15" x14ac:dyDescent="0.3">
      <c r="B32" s="82" t="s">
        <v>12</v>
      </c>
      <c r="C32" s="74"/>
      <c r="D32" s="86"/>
      <c r="E32" s="87"/>
      <c r="F32" s="75"/>
      <c r="G32" s="88"/>
      <c r="H32" s="90"/>
      <c r="I32" s="91"/>
    </row>
    <row r="33" spans="1:9" x14ac:dyDescent="0.3">
      <c r="B33" s="82" t="s">
        <v>13</v>
      </c>
      <c r="C33" s="74"/>
      <c r="D33" s="86"/>
      <c r="E33" s="87"/>
      <c r="F33" s="75"/>
      <c r="G33" s="88"/>
      <c r="H33" s="90"/>
      <c r="I33" s="91"/>
    </row>
    <row r="34" spans="1:9" x14ac:dyDescent="0.3">
      <c r="B34" s="82" t="s">
        <v>14</v>
      </c>
      <c r="C34" s="74"/>
      <c r="D34" s="86"/>
      <c r="E34" s="87"/>
      <c r="F34" s="75"/>
      <c r="G34" s="88"/>
      <c r="H34" s="90"/>
      <c r="I34" s="91"/>
    </row>
    <row r="35" spans="1:9" x14ac:dyDescent="0.3">
      <c r="B35" s="82" t="s">
        <v>15</v>
      </c>
      <c r="C35" s="74"/>
      <c r="D35" s="86"/>
      <c r="E35" s="87"/>
      <c r="F35" s="75"/>
      <c r="G35" s="88"/>
      <c r="H35" s="90"/>
      <c r="I35" s="91"/>
    </row>
    <row r="36" spans="1:9" x14ac:dyDescent="0.3">
      <c r="B36" s="82" t="s">
        <v>16</v>
      </c>
      <c r="C36" s="74"/>
      <c r="D36" s="86"/>
      <c r="E36" s="87"/>
      <c r="F36" s="75"/>
      <c r="G36" s="88"/>
      <c r="H36" s="90"/>
      <c r="I36" s="91"/>
    </row>
    <row r="37" spans="1:9" x14ac:dyDescent="0.3">
      <c r="A37" s="1"/>
      <c r="B37" s="1" t="s">
        <v>52</v>
      </c>
      <c r="C37" s="1"/>
      <c r="D37" s="1"/>
      <c r="E37" s="120">
        <f>I19</f>
        <v>217.62092510318402</v>
      </c>
      <c r="F37" s="1"/>
      <c r="G37" s="121">
        <f>K19</f>
        <v>1.3031439139153694E-2</v>
      </c>
    </row>
    <row r="38" spans="1:9" x14ac:dyDescent="0.3">
      <c r="B38">
        <v>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4C5C-02AA-4B6C-99C9-097CF3F7B6A6}">
  <dimension ref="A1:C51"/>
  <sheetViews>
    <sheetView topLeftCell="A24" workbookViewId="0">
      <selection activeCell="C40" sqref="C40"/>
    </sheetView>
  </sheetViews>
  <sheetFormatPr baseColWidth="10" defaultRowHeight="14.4" x14ac:dyDescent="0.3"/>
  <sheetData>
    <row r="1" spans="2:3" ht="18" x14ac:dyDescent="0.35">
      <c r="B1" s="92" t="s">
        <v>56</v>
      </c>
      <c r="C1" s="93"/>
    </row>
    <row r="3" spans="2:3" x14ac:dyDescent="0.3">
      <c r="C3" s="2" t="s">
        <v>31</v>
      </c>
    </row>
    <row r="4" spans="2:3" x14ac:dyDescent="0.3">
      <c r="B4" s="2" t="s">
        <v>0</v>
      </c>
      <c r="C4" s="47">
        <f>'datos 26'!C5</f>
        <v>60.088999999999999</v>
      </c>
    </row>
    <row r="5" spans="2:3" x14ac:dyDescent="0.3">
      <c r="B5" s="2" t="s">
        <v>1</v>
      </c>
      <c r="C5" s="47">
        <f>'datos 26'!C6</f>
        <v>82.336020000000005</v>
      </c>
    </row>
    <row r="6" spans="2:3" x14ac:dyDescent="0.3">
      <c r="B6" s="2" t="s">
        <v>2</v>
      </c>
      <c r="C6" s="47"/>
    </row>
    <row r="7" spans="2:3" x14ac:dyDescent="0.3">
      <c r="B7" s="2" t="s">
        <v>3</v>
      </c>
      <c r="C7" s="47"/>
    </row>
    <row r="8" spans="2:3" x14ac:dyDescent="0.3">
      <c r="B8" s="2" t="s">
        <v>4</v>
      </c>
      <c r="C8" s="47"/>
    </row>
    <row r="9" spans="2:3" x14ac:dyDescent="0.3">
      <c r="B9" s="2" t="s">
        <v>5</v>
      </c>
      <c r="C9" s="47"/>
    </row>
    <row r="10" spans="2:3" x14ac:dyDescent="0.3">
      <c r="B10" s="2" t="s">
        <v>6</v>
      </c>
      <c r="C10" s="47"/>
    </row>
    <row r="11" spans="2:3" x14ac:dyDescent="0.3">
      <c r="B11" s="2" t="s">
        <v>12</v>
      </c>
      <c r="C11" s="47"/>
    </row>
    <row r="12" spans="2:3" x14ac:dyDescent="0.3">
      <c r="B12" s="2" t="s">
        <v>13</v>
      </c>
      <c r="C12" s="47"/>
    </row>
    <row r="13" spans="2:3" x14ac:dyDescent="0.3">
      <c r="B13" s="2" t="s">
        <v>14</v>
      </c>
      <c r="C13" s="47"/>
    </row>
    <row r="14" spans="2:3" x14ac:dyDescent="0.3">
      <c r="B14" s="2" t="s">
        <v>15</v>
      </c>
      <c r="C14" s="47"/>
    </row>
    <row r="15" spans="2:3" x14ac:dyDescent="0.3">
      <c r="B15" s="2" t="s">
        <v>16</v>
      </c>
      <c r="C15" s="47"/>
    </row>
    <row r="16" spans="2:3" x14ac:dyDescent="0.3">
      <c r="B16" s="2"/>
      <c r="C16" s="3"/>
    </row>
    <row r="17" spans="2:3" x14ac:dyDescent="0.3">
      <c r="B17" s="98" t="s">
        <v>11</v>
      </c>
      <c r="C17" s="96">
        <f>'datos 26'!C19</f>
        <v>90.079430874806292</v>
      </c>
    </row>
    <row r="19" spans="2:3" ht="18" x14ac:dyDescent="0.35">
      <c r="B19" s="92" t="s">
        <v>20</v>
      </c>
      <c r="C19" s="60"/>
    </row>
    <row r="20" spans="2:3" x14ac:dyDescent="0.3">
      <c r="C20" s="2" t="s">
        <v>32</v>
      </c>
    </row>
    <row r="21" spans="2:3" x14ac:dyDescent="0.3">
      <c r="B21" s="2" t="s">
        <v>0</v>
      </c>
      <c r="C21" s="47">
        <f>'datos 26'!I5</f>
        <v>213.9533473193901</v>
      </c>
    </row>
    <row r="22" spans="2:3" x14ac:dyDescent="0.3">
      <c r="B22" s="2" t="s">
        <v>1</v>
      </c>
      <c r="C22" s="47">
        <f>'datos 26'!I6</f>
        <v>224.62623727637404</v>
      </c>
    </row>
    <row r="23" spans="2:3" x14ac:dyDescent="0.3">
      <c r="B23" s="2" t="s">
        <v>2</v>
      </c>
      <c r="C23" s="47"/>
    </row>
    <row r="24" spans="2:3" x14ac:dyDescent="0.3">
      <c r="B24" s="2" t="s">
        <v>3</v>
      </c>
      <c r="C24" s="47"/>
    </row>
    <row r="25" spans="2:3" x14ac:dyDescent="0.3">
      <c r="B25" s="2" t="s">
        <v>4</v>
      </c>
      <c r="C25" s="47"/>
    </row>
    <row r="26" spans="2:3" x14ac:dyDescent="0.3">
      <c r="B26" s="2" t="s">
        <v>5</v>
      </c>
      <c r="C26" s="47"/>
    </row>
    <row r="27" spans="2:3" x14ac:dyDescent="0.3">
      <c r="B27" s="2" t="s">
        <v>6</v>
      </c>
      <c r="C27" s="47"/>
    </row>
    <row r="28" spans="2:3" x14ac:dyDescent="0.3">
      <c r="B28" s="2" t="s">
        <v>12</v>
      </c>
      <c r="C28" s="47"/>
    </row>
    <row r="29" spans="2:3" x14ac:dyDescent="0.3">
      <c r="B29" s="2" t="s">
        <v>13</v>
      </c>
      <c r="C29" s="47"/>
    </row>
    <row r="30" spans="2:3" x14ac:dyDescent="0.3">
      <c r="B30" s="2" t="s">
        <v>14</v>
      </c>
      <c r="C30" s="47"/>
    </row>
    <row r="31" spans="2:3" x14ac:dyDescent="0.3">
      <c r="B31" s="2" t="s">
        <v>15</v>
      </c>
      <c r="C31" s="47"/>
    </row>
    <row r="32" spans="2:3" x14ac:dyDescent="0.3">
      <c r="B32" s="2" t="s">
        <v>16</v>
      </c>
      <c r="C32" s="47"/>
    </row>
    <row r="33" spans="1:3" x14ac:dyDescent="0.3">
      <c r="B33" s="2"/>
      <c r="C33" s="4"/>
    </row>
    <row r="34" spans="1:3" x14ac:dyDescent="0.3">
      <c r="A34" s="60"/>
      <c r="B34" s="94" t="s">
        <v>18</v>
      </c>
      <c r="C34" s="96">
        <f>'datos 26'!I19</f>
        <v>217.62092510318402</v>
      </c>
    </row>
    <row r="35" spans="1:3" x14ac:dyDescent="0.3">
      <c r="B35" s="5"/>
      <c r="C35" s="6"/>
    </row>
    <row r="36" spans="1:3" ht="18" x14ac:dyDescent="0.35">
      <c r="B36" s="92" t="s">
        <v>21</v>
      </c>
    </row>
    <row r="37" spans="1:3" x14ac:dyDescent="0.3">
      <c r="C37" s="2" t="s">
        <v>25</v>
      </c>
    </row>
    <row r="38" spans="1:3" x14ac:dyDescent="0.3">
      <c r="B38" s="2" t="s">
        <v>0</v>
      </c>
      <c r="C38" s="4">
        <f>'datos 26'!K5</f>
        <v>1.0768256261464368E-2</v>
      </c>
    </row>
    <row r="39" spans="1:3" x14ac:dyDescent="0.3">
      <c r="B39" s="2" t="s">
        <v>1</v>
      </c>
      <c r="C39" s="4">
        <f>'datos 26'!K6</f>
        <v>1.3892016366299123E-2</v>
      </c>
    </row>
    <row r="40" spans="1:3" x14ac:dyDescent="0.3">
      <c r="B40" s="2" t="s">
        <v>2</v>
      </c>
      <c r="C40" s="4">
        <f>'datos 26'!K7</f>
        <v>1.3901768896067687E-2</v>
      </c>
    </row>
    <row r="41" spans="1:3" x14ac:dyDescent="0.3">
      <c r="B41" s="2" t="s">
        <v>3</v>
      </c>
      <c r="C41" s="4"/>
    </row>
    <row r="42" spans="1:3" x14ac:dyDescent="0.3">
      <c r="B42" s="2" t="s">
        <v>4</v>
      </c>
      <c r="C42" s="4"/>
    </row>
    <row r="43" spans="1:3" x14ac:dyDescent="0.3">
      <c r="B43" s="2" t="s">
        <v>5</v>
      </c>
      <c r="C43" s="4"/>
    </row>
    <row r="44" spans="1:3" x14ac:dyDescent="0.3">
      <c r="B44" s="2" t="s">
        <v>6</v>
      </c>
      <c r="C44" s="4"/>
    </row>
    <row r="45" spans="1:3" x14ac:dyDescent="0.3">
      <c r="B45" s="2" t="s">
        <v>12</v>
      </c>
      <c r="C45" s="4"/>
    </row>
    <row r="46" spans="1:3" x14ac:dyDescent="0.3">
      <c r="B46" s="2" t="s">
        <v>13</v>
      </c>
      <c r="C46" s="4"/>
    </row>
    <row r="47" spans="1:3" x14ac:dyDescent="0.3">
      <c r="B47" s="2" t="s">
        <v>14</v>
      </c>
      <c r="C47" s="4"/>
    </row>
    <row r="48" spans="1:3" x14ac:dyDescent="0.3">
      <c r="B48" s="2" t="s">
        <v>15</v>
      </c>
      <c r="C48" s="4"/>
    </row>
    <row r="49" spans="1:3" x14ac:dyDescent="0.3">
      <c r="B49" s="2" t="s">
        <v>16</v>
      </c>
      <c r="C49" s="4"/>
    </row>
    <row r="50" spans="1:3" x14ac:dyDescent="0.3">
      <c r="B50" s="2"/>
      <c r="C50" s="4"/>
    </row>
    <row r="51" spans="1:3" x14ac:dyDescent="0.3">
      <c r="A51" s="93"/>
      <c r="B51" s="94" t="s">
        <v>18</v>
      </c>
      <c r="C51" s="95">
        <f>'datos 26'!K19</f>
        <v>1.3031439139153694E-2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6"/>
  <sheetViews>
    <sheetView topLeftCell="A14" workbookViewId="0">
      <selection activeCell="Q23" sqref="Q23"/>
    </sheetView>
  </sheetViews>
  <sheetFormatPr baseColWidth="10" defaultRowHeight="14.4" x14ac:dyDescent="0.3"/>
  <cols>
    <col min="1" max="1" width="2.109375" customWidth="1"/>
    <col min="4" max="4" width="10.109375" customWidth="1"/>
    <col min="8" max="8" width="1" customWidth="1"/>
    <col min="10" max="10" width="10.5546875" customWidth="1"/>
    <col min="11" max="11" width="17.77734375" customWidth="1"/>
    <col min="12" max="12" width="7.6640625" customWidth="1"/>
  </cols>
  <sheetData>
    <row r="2" spans="2:12" x14ac:dyDescent="0.3">
      <c r="B2" s="1" t="s">
        <v>35</v>
      </c>
      <c r="I2" s="1" t="s">
        <v>38</v>
      </c>
    </row>
    <row r="3" spans="2:12" x14ac:dyDescent="0.3">
      <c r="B3" s="1" t="s">
        <v>36</v>
      </c>
      <c r="I3" s="1" t="s">
        <v>40</v>
      </c>
    </row>
    <row r="4" spans="2:12" x14ac:dyDescent="0.3">
      <c r="C4" s="1" t="s">
        <v>37</v>
      </c>
      <c r="D4" s="2" t="s">
        <v>11</v>
      </c>
      <c r="J4" s="1" t="s">
        <v>37</v>
      </c>
      <c r="K4" s="2" t="s">
        <v>57</v>
      </c>
      <c r="L4" s="44" t="s">
        <v>39</v>
      </c>
    </row>
    <row r="5" spans="2:12" x14ac:dyDescent="0.3">
      <c r="B5" s="71">
        <v>44562</v>
      </c>
      <c r="C5">
        <v>4.33</v>
      </c>
      <c r="I5" s="71">
        <v>44562</v>
      </c>
      <c r="J5">
        <v>2.67</v>
      </c>
    </row>
    <row r="6" spans="2:12" x14ac:dyDescent="0.3">
      <c r="B6" t="s">
        <v>1</v>
      </c>
      <c r="C6">
        <v>4.66</v>
      </c>
      <c r="I6" t="s">
        <v>1</v>
      </c>
      <c r="J6">
        <v>2.64</v>
      </c>
    </row>
    <row r="7" spans="2:12" x14ac:dyDescent="0.3">
      <c r="B7" t="s">
        <v>2</v>
      </c>
      <c r="C7">
        <v>4.88</v>
      </c>
      <c r="I7" t="s">
        <v>2</v>
      </c>
      <c r="J7">
        <v>2.63</v>
      </c>
    </row>
    <row r="8" spans="2:12" x14ac:dyDescent="0.3">
      <c r="B8" t="s">
        <v>3</v>
      </c>
      <c r="C8">
        <v>6.53</v>
      </c>
      <c r="I8" t="s">
        <v>3</v>
      </c>
      <c r="J8">
        <v>2.65</v>
      </c>
    </row>
    <row r="9" spans="2:12" x14ac:dyDescent="0.3">
      <c r="B9" t="s">
        <v>4</v>
      </c>
      <c r="C9">
        <v>8.14</v>
      </c>
      <c r="I9" t="s">
        <v>4</v>
      </c>
      <c r="J9">
        <v>3.67</v>
      </c>
    </row>
    <row r="10" spans="2:12" x14ac:dyDescent="0.3">
      <c r="B10" t="s">
        <v>5</v>
      </c>
      <c r="C10">
        <v>7.67</v>
      </c>
      <c r="I10" t="s">
        <v>5</v>
      </c>
      <c r="J10">
        <v>3.63</v>
      </c>
    </row>
    <row r="11" spans="2:12" x14ac:dyDescent="0.3">
      <c r="B11" t="s">
        <v>6</v>
      </c>
      <c r="C11">
        <v>7.26</v>
      </c>
      <c r="I11" t="s">
        <v>6</v>
      </c>
      <c r="J11">
        <v>3.56</v>
      </c>
    </row>
    <row r="12" spans="2:12" x14ac:dyDescent="0.3">
      <c r="B12" t="s">
        <v>12</v>
      </c>
      <c r="C12">
        <v>8.7899999999999991</v>
      </c>
      <c r="I12" t="s">
        <v>12</v>
      </c>
      <c r="J12">
        <v>3.53</v>
      </c>
    </row>
    <row r="13" spans="2:12" x14ac:dyDescent="0.3">
      <c r="B13" t="s">
        <v>13</v>
      </c>
      <c r="C13">
        <v>7.76</v>
      </c>
      <c r="I13" t="s">
        <v>13</v>
      </c>
      <c r="J13">
        <v>3.55</v>
      </c>
    </row>
    <row r="14" spans="2:12" x14ac:dyDescent="0.3">
      <c r="B14" t="s">
        <v>14</v>
      </c>
      <c r="C14">
        <v>5.62</v>
      </c>
      <c r="I14" t="s">
        <v>14</v>
      </c>
      <c r="J14">
        <v>2.66</v>
      </c>
    </row>
    <row r="15" spans="2:12" x14ac:dyDescent="0.3">
      <c r="B15" t="s">
        <v>34</v>
      </c>
      <c r="C15">
        <v>5.28</v>
      </c>
      <c r="I15" t="s">
        <v>34</v>
      </c>
      <c r="J15">
        <v>2.73</v>
      </c>
    </row>
    <row r="16" spans="2:12" x14ac:dyDescent="0.3">
      <c r="B16" t="s">
        <v>16</v>
      </c>
      <c r="C16">
        <v>5.5</v>
      </c>
      <c r="D16" s="72">
        <f>AVERAGE(C5:C16)</f>
        <v>6.3683333333333332</v>
      </c>
      <c r="I16" t="s">
        <v>16</v>
      </c>
      <c r="J16">
        <v>2.72</v>
      </c>
      <c r="K16" s="72"/>
      <c r="L16" s="73"/>
    </row>
    <row r="17" spans="2:12" x14ac:dyDescent="0.3">
      <c r="D17" s="72"/>
      <c r="K17" s="72">
        <v>3.05</v>
      </c>
      <c r="L17" s="73"/>
    </row>
    <row r="18" spans="2:12" x14ac:dyDescent="0.3">
      <c r="B18" s="71">
        <v>44927</v>
      </c>
      <c r="C18">
        <v>3.27</v>
      </c>
      <c r="I18" s="71">
        <v>44927</v>
      </c>
      <c r="J18">
        <v>2.8</v>
      </c>
      <c r="L18" s="73"/>
    </row>
    <row r="19" spans="2:12" x14ac:dyDescent="0.3">
      <c r="B19" t="s">
        <v>1</v>
      </c>
      <c r="C19">
        <v>2.38</v>
      </c>
      <c r="I19" t="s">
        <v>1</v>
      </c>
      <c r="J19">
        <v>2.79</v>
      </c>
    </row>
    <row r="20" spans="2:12" x14ac:dyDescent="0.3">
      <c r="B20" t="s">
        <v>2</v>
      </c>
      <c r="C20">
        <v>2.2999999999999998</v>
      </c>
      <c r="I20" t="s">
        <v>2</v>
      </c>
      <c r="J20">
        <v>2.87</v>
      </c>
    </row>
    <row r="21" spans="2:12" x14ac:dyDescent="0.3">
      <c r="B21" t="s">
        <v>3</v>
      </c>
      <c r="C21">
        <v>2.16</v>
      </c>
      <c r="I21" t="s">
        <v>3</v>
      </c>
      <c r="J21">
        <v>2.81</v>
      </c>
    </row>
    <row r="22" spans="2:12" x14ac:dyDescent="0.3">
      <c r="B22" t="s">
        <v>4</v>
      </c>
      <c r="C22">
        <v>2.15</v>
      </c>
      <c r="I22" t="s">
        <v>4</v>
      </c>
      <c r="J22">
        <v>3.73</v>
      </c>
    </row>
    <row r="23" spans="2:12" x14ac:dyDescent="0.3">
      <c r="B23" t="s">
        <v>5</v>
      </c>
      <c r="C23">
        <v>2.1800000000000002</v>
      </c>
      <c r="I23" t="s">
        <v>5</v>
      </c>
      <c r="J23">
        <v>3.43</v>
      </c>
    </row>
    <row r="24" spans="2:12" x14ac:dyDescent="0.3">
      <c r="B24" t="s">
        <v>6</v>
      </c>
      <c r="C24">
        <v>2.5499999999999998</v>
      </c>
      <c r="I24" t="s">
        <v>6</v>
      </c>
      <c r="J24">
        <v>3.56</v>
      </c>
    </row>
    <row r="25" spans="2:12" x14ac:dyDescent="0.3">
      <c r="B25" t="s">
        <v>12</v>
      </c>
      <c r="C25">
        <v>2.58</v>
      </c>
      <c r="I25" t="s">
        <v>12</v>
      </c>
      <c r="J25">
        <v>3.45</v>
      </c>
    </row>
    <row r="26" spans="2:12" x14ac:dyDescent="0.3">
      <c r="B26" t="s">
        <v>13</v>
      </c>
      <c r="C26">
        <v>2.64</v>
      </c>
      <c r="I26" t="s">
        <v>13</v>
      </c>
      <c r="J26">
        <v>3.72</v>
      </c>
    </row>
    <row r="27" spans="2:12" x14ac:dyDescent="0.3">
      <c r="B27" t="s">
        <v>14</v>
      </c>
      <c r="C27">
        <v>2.99</v>
      </c>
      <c r="I27" t="s">
        <v>14</v>
      </c>
      <c r="J27">
        <v>2.66</v>
      </c>
    </row>
    <row r="28" spans="2:12" x14ac:dyDescent="0.3">
      <c r="B28" t="s">
        <v>34</v>
      </c>
      <c r="C28">
        <v>2.71</v>
      </c>
      <c r="I28" t="s">
        <v>34</v>
      </c>
      <c r="J28">
        <v>3.38</v>
      </c>
    </row>
    <row r="29" spans="2:12" x14ac:dyDescent="0.3">
      <c r="B29" t="s">
        <v>16</v>
      </c>
      <c r="C29">
        <v>2.5299999999999998</v>
      </c>
      <c r="D29" s="72">
        <f>AVERAGE(C18:C29)</f>
        <v>2.5366666666666671</v>
      </c>
      <c r="I29" t="s">
        <v>16</v>
      </c>
      <c r="J29">
        <v>2.31</v>
      </c>
      <c r="K29" s="72"/>
    </row>
    <row r="30" spans="2:12" x14ac:dyDescent="0.3">
      <c r="D30" s="72"/>
      <c r="K30" s="72">
        <v>3.13</v>
      </c>
      <c r="L30" s="73">
        <v>5.59</v>
      </c>
    </row>
    <row r="31" spans="2:12" x14ac:dyDescent="0.3">
      <c r="D31" s="72"/>
      <c r="K31" s="72"/>
      <c r="L31" s="17"/>
    </row>
    <row r="32" spans="2:12" x14ac:dyDescent="0.3">
      <c r="B32" s="71">
        <v>45292</v>
      </c>
      <c r="C32">
        <v>3.18</v>
      </c>
      <c r="I32" s="126">
        <v>45292</v>
      </c>
      <c r="J32">
        <v>2.56</v>
      </c>
      <c r="L32" s="73"/>
    </row>
    <row r="33" spans="2:12" x14ac:dyDescent="0.3">
      <c r="B33" t="s">
        <v>1</v>
      </c>
      <c r="C33">
        <v>1.72</v>
      </c>
      <c r="D33" s="72">
        <f>AVERAGE(C20:C33)</f>
        <v>2.4741666666666666</v>
      </c>
      <c r="K33" s="72"/>
      <c r="L33" s="73">
        <v>6.12</v>
      </c>
    </row>
    <row r="34" spans="2:12" x14ac:dyDescent="0.3">
      <c r="I34" s="125" t="s">
        <v>59</v>
      </c>
      <c r="J34" s="15" t="s">
        <v>58</v>
      </c>
      <c r="L34" s="73">
        <v>6.07</v>
      </c>
    </row>
    <row r="35" spans="2:12" x14ac:dyDescent="0.3">
      <c r="I35" s="71"/>
      <c r="J35" s="15"/>
      <c r="L35" s="73"/>
    </row>
    <row r="36" spans="2:12" x14ac:dyDescent="0.3">
      <c r="I36" s="126">
        <v>46023</v>
      </c>
      <c r="J36" s="15" t="s">
        <v>58</v>
      </c>
      <c r="L36" s="124">
        <v>6.1</v>
      </c>
    </row>
  </sheetData>
  <pageMargins left="0.11811023622047245" right="0.11811023622047245" top="0.74803149606299213" bottom="0.74803149606299213" header="0.31496062992125984" footer="0.31496062992125984"/>
  <pageSetup scale="90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datos 23</vt:lpstr>
      <vt:lpstr>graficos 23</vt:lpstr>
      <vt:lpstr>datos 24</vt:lpstr>
      <vt:lpstr>graficos 24</vt:lpstr>
      <vt:lpstr>datos 25</vt:lpstr>
      <vt:lpstr>graficos 25</vt:lpstr>
      <vt:lpstr>datos 26</vt:lpstr>
      <vt:lpstr>graficos 26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B</cp:lastModifiedBy>
  <cp:lastPrinted>2026-02-03T15:49:41Z</cp:lastPrinted>
  <dcterms:created xsi:type="dcterms:W3CDTF">2023-09-01T12:01:48Z</dcterms:created>
  <dcterms:modified xsi:type="dcterms:W3CDTF">2026-05-12T13:32:45Z</dcterms:modified>
</cp:coreProperties>
</file>