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sumen" sheetId="1" state="visible" r:id="rId3"/>
    <sheet name="datos23" sheetId="2" state="visible" r:id="rId4"/>
    <sheet name="graficos 23" sheetId="3" state="visible" r:id="rId5"/>
    <sheet name="datos24" sheetId="4" state="visible" r:id="rId6"/>
    <sheet name="graficos 24" sheetId="5" state="visible" r:id="rId7"/>
    <sheet name="datos25" sheetId="6" state="visible" r:id="rId8"/>
    <sheet name="graficos 25" sheetId="7" state="visible" r:id="rId9"/>
    <sheet name="datos26" sheetId="8" state="visible" r:id="rId10"/>
    <sheet name="graficos 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<sst xmlns="http://schemas.openxmlformats.org/spreadsheetml/2006/main" count="636" uniqueCount="73">
  <si>
    <t xml:space="preserve">ENERGIA ELECTRICA</t>
  </si>
  <si>
    <t xml:space="preserve">COMPARATIVA </t>
  </si>
  <si>
    <t xml:space="preserve">ENERGIA</t>
  </si>
  <si>
    <t xml:space="preserve">U$S/KW</t>
  </si>
  <si>
    <t xml:space="preserve">%</t>
  </si>
  <si>
    <t xml:space="preserve">U$S /lt-kg</t>
  </si>
  <si>
    <t xml:space="preserve">KW / lt-kg</t>
  </si>
  <si>
    <t xml:space="preserve">  promedio con 2 medidores</t>
  </si>
  <si>
    <t xml:space="preserve">   medidor de producción</t>
  </si>
  <si>
    <t xml:space="preserve">U$S /udad</t>
  </si>
  <si>
    <t xml:space="preserve">KW / udad</t>
  </si>
  <si>
    <t xml:space="preserve">   medidor de sopladoras</t>
  </si>
  <si>
    <t xml:space="preserve">ENERGIA ELECTRICA 2023</t>
  </si>
  <si>
    <t xml:space="preserve">medidor 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</si>
  <si>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</si>
  <si>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</si>
  <si>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</si>
  <si>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</si>
  <si>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</si>
  <si>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</si>
  <si>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</si>
  <si>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</si>
  <si>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</si>
  <si>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</si>
  <si>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</si>
  <si>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</si>
  <si>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</si>
  <si>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</si>
  <si>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</si>
  <si>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</si>
  <si>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</si>
  <si>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</si>
  <si>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</si>
  <si>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</si>
  <si>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</si>
  <si>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promedio </t>
  </si>
  <si>
    <t xml:space="preserve">( conectado sector sopladoras )</t>
  </si>
  <si>
    <t xml:space="preserve">unidades</t>
  </si>
  <si>
    <t xml:space="preserve">U$S / unidad</t>
  </si>
  <si>
    <t xml:space="preserve">Kw-h / udades</t>
  </si>
  <si>
    <t xml:space="preserve">promedio</t>
  </si>
  <si>
    <t xml:space="preserve">con ambos medidores</t>
  </si>
  <si>
    <t xml:space="preserve">1 medidor</t>
  </si>
  <si>
    <t xml:space="preserve">2 medidores</t>
  </si>
  <si>
    <t xml:space="preserve">consumo energía eléctrica</t>
  </si>
  <si>
    <t xml:space="preserve">consumo energía eléctrica por unidad producida</t>
  </si>
  <si>
    <t xml:space="preserve">medidor producción</t>
  </si>
  <si>
    <t xml:space="preserve">Kw-h/ lt-kg</t>
  </si>
  <si>
    <t xml:space="preserve">costo energía eléctrica por unidad consumida</t>
  </si>
  <si>
    <t xml:space="preserve">con ambos medidores </t>
  </si>
  <si>
    <t xml:space="preserve">promedio pond</t>
  </si>
  <si>
    <t xml:space="preserve">promedio ponderado</t>
  </si>
  <si>
    <t xml:space="preserve">costo unitario energía eléctrica por unidad producida</t>
  </si>
  <si>
    <t xml:space="preserve">ENERGIA ELECTRICA 2024</t>
  </si>
  <si>
    <t xml:space="preserve">,</t>
  </si>
  <si>
    <t xml:space="preserve">lts- kg- udades</t>
  </si>
  <si>
    <t xml:space="preserve">U$S / lt-kg-udad</t>
  </si>
  <si>
    <t xml:space="preserve">kW-h</t>
  </si>
  <si>
    <t xml:space="preserve">ENERGIA ELECTRICA 2025</t>
  </si>
  <si>
    <t xml:space="preserve">A300-400-500-600-700-1000-1100</t>
  </si>
  <si>
    <t xml:space="preserve">incluye líquidos evaporados y fardos </t>
  </si>
  <si>
    <t xml:space="preserve">Pot contrat 1100</t>
  </si>
  <si>
    <t xml:space="preserve">582-570</t>
  </si>
  <si>
    <t xml:space="preserve">655-722</t>
  </si>
  <si>
    <t xml:space="preserve">609-685</t>
  </si>
  <si>
    <t xml:space="preserve">A800, A900, Sopladoras y picado bidones</t>
  </si>
  <si>
    <t xml:space="preserve">Pot contrat 1000</t>
  </si>
  <si>
    <t xml:space="preserve">288-302</t>
  </si>
  <si>
    <t xml:space="preserve">302-317</t>
  </si>
  <si>
    <t xml:space="preserve">medidor producción - servicios</t>
  </si>
  <si>
    <t xml:space="preserve">medidor sopladora-A800-A900</t>
  </si>
  <si>
    <t xml:space="preserve">ambos medidores</t>
  </si>
  <si>
    <t xml:space="preserve">A300-400-500-600-700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</si>
</sst>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.0"/>
    <numFmt numFmtId="167" formatCode="mmm\-yy"/>
    <numFmt numFmtId="168" formatCode="#,##0"/>
    <numFmt numFmtId="169" formatCode="#,##0.0000"/>
    <numFmt numFmtId="170" formatCode="0.000"/>
    <numFmt numFmtId="171" formatCode="0"/>
    <numFmt numFmtId="172" formatCode="0.00"/>
    <numFmt numFmtId="173" formatCode="0\ %"/>
    <numFmt numFmtId="174" formatCode="#,##0.00"/>
    <numFmt numFmtId="175" formatCode="#,##0.0"/>
    <numFmt numFmtId="176" formatCode="#,##0.000"/>
    <numFmt numFmtId="177" formatCode="dd\-mmm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theme="5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5" tint="-0.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6"/>
      <color theme="9" tint="-0.5"/>
      <name val="Calibri"/>
      <family val="2"/>
      <charset val="1"/>
    </font>
    <font>
      <b val="true"/>
      <sz val="14"/>
      <color theme="9" tint="-0.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sz val="11"/>
      <color theme="1" tint="0.3499"/>
      <name val="Calibri"/>
      <family val="2"/>
      <charset val="1"/>
    </font>
    <font>
      <b val="true"/>
      <sz val="11"/>
      <color theme="0" tint="-0.05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 tint="-0.5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6"/>
      <color theme="0" tint="-0.5"/>
      <name val="Calibri"/>
      <family val="2"/>
      <charset val="1"/>
    </font>
    <font>
      <b val="true"/>
      <sz val="14"/>
      <color theme="0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E7E6E6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E7E6E6"/>
      </patternFill>
    </fill>
    <fill>
      <patternFill patternType="solid">
        <fgColor theme="9" tint="-0.25"/>
        <bgColor rgb="FF595959"/>
      </patternFill>
    </fill>
    <fill>
      <patternFill patternType="solid">
        <fgColor theme="9" tint="0.7999"/>
        <bgColor rgb="FFE7E6E6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2"/>
        <bgColor rgb="FFE2F0D9"/>
      </patternFill>
    </fill>
    <fill>
      <patternFill patternType="solid">
        <fgColor theme="9" tint="0.3999"/>
        <bgColor rgb="FFA5A5A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5B9BD5"/>
      <rgbColor rgb="FF993366"/>
      <rgbColor rgb="FFF2F2F2"/>
      <rgbColor rgb="FFE7E6E6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F7F7F"/>
      <rgbColor rgb="FF003300"/>
      <rgbColor rgb="FF333300"/>
      <rgbColor rgb="FF843C0B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0.09800056695399</c:v>
                </c:pt>
                <c:pt idx="1">
                  <c:v>0.0170206723700866</c:v>
                </c:pt>
                <c:pt idx="2">
                  <c:v>0.165413839969757</c:v>
                </c:pt>
              </c:numCache>
            </c:numRef>
          </c:val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</c:v>
                </c:pt>
                <c:pt idx="1">
                  <c:v>0.0230611909419524</c:v>
                </c:pt>
                <c:pt idx="2">
                  <c:v>0.1633</c:v>
                </c:pt>
              </c:numCache>
            </c:numRef>
          </c:val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</c:v>
                </c:pt>
                <c:pt idx="1">
                  <c:v>0.0333785052408256</c:v>
                </c:pt>
                <c:pt idx="2">
                  <c:v>0.166441846483217</c:v>
                </c:pt>
              </c:numCache>
            </c:numRef>
          </c:val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82218407"/>
        <c:axId val="33567870"/>
      </c:barChart>
      <c:catAx>
        <c:axId val="82218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567870"/>
        <c:crosses val="autoZero"/>
        <c:auto val="1"/>
        <c:lblAlgn val="ctr"/>
        <c:lblOffset val="100"/>
        <c:noMultiLvlLbl val="0"/>
      </c:catAx>
      <c:valAx>
        <c:axId val="335678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2184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producción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0.084701111535064</c:v>
                </c:pt>
                <c:pt idx="1">
                  <c:v>0.013540315833293</c:v>
                </c:pt>
                <c:pt idx="2">
                  <c:v>0.144230421901603</c:v>
                </c:pt>
              </c:numCache>
            </c:numRef>
          </c:val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0.133379682423305</c:v>
                </c:pt>
                <c:pt idx="1">
                  <c:v>0.0188262412384559</c:v>
                </c:pt>
                <c:pt idx="2">
                  <c:v>0.132665170964991</c:v>
                </c:pt>
              </c:numCache>
            </c:numRef>
          </c:val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</c:v>
                </c:pt>
                <c:pt idx="1">
                  <c:v>0.0233518909546739</c:v>
                </c:pt>
                <c:pt idx="2">
                  <c:v>0.115850720151625</c:v>
                </c:pt>
              </c:numCache>
            </c:numRef>
          </c:val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0.184987593974885</c:v>
                </c:pt>
                <c:pt idx="1">
                  <c:v>0.0436453913282574</c:v>
                </c:pt>
                <c:pt idx="2">
                  <c:v>0.238145027523377</c:v>
                </c:pt>
              </c:numCache>
            </c:numRef>
          </c:val>
        </c:ser>
        <c:gapWidth val="219"/>
        <c:overlap val="-27"/>
        <c:axId val="23531940"/>
        <c:axId val="96379913"/>
      </c:barChart>
      <c:catAx>
        <c:axId val="235319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379913"/>
        <c:crosses val="autoZero"/>
        <c:auto val="1"/>
        <c:lblAlgn val="ctr"/>
        <c:lblOffset val="100"/>
        <c:noMultiLvlLbl val="0"/>
      </c:catAx>
      <c:valAx>
        <c:axId val="963799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5319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sopladoras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1.01206624577438</c:v>
                </c:pt>
                <c:pt idx="1">
                  <c:v>0.587459405209725</c:v>
                </c:pt>
                <c:pt idx="2">
                  <c:v>1.20469415307924</c:v>
                </c:pt>
              </c:numCache>
            </c:numRef>
          </c:val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</c:v>
                </c:pt>
                <c:pt idx="1">
                  <c:v>0.736394334804602</c:v>
                </c:pt>
                <c:pt idx="2">
                  <c:v>0.242350605353134</c:v>
                </c:pt>
              </c:numCache>
            </c:numRef>
          </c:val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</c:v>
                </c:pt>
                <c:pt idx="1">
                  <c:v>0.0866672046270065</c:v>
                </c:pt>
                <c:pt idx="2">
                  <c:v>0.429892444828197</c:v>
                </c:pt>
              </c:numCache>
            </c:numRef>
          </c:val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98926961"/>
        <c:axId val="97936450"/>
      </c:barChart>
      <c:catAx>
        <c:axId val="989269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36450"/>
        <c:crosses val="autoZero"/>
        <c:auto val="1"/>
        <c:lblAlgn val="ctr"/>
        <c:lblOffset val="100"/>
        <c:noMultiLvlLbl val="0"/>
      </c:catAx>
      <c:valAx>
        <c:axId val="979364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9269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129472"/>
        <c:axId val="63520754"/>
      </c:lineChart>
      <c:catAx>
        <c:axId val="33129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520754"/>
        <c:crosses val="autoZero"/>
        <c:auto val="1"/>
        <c:lblAlgn val="ctr"/>
        <c:lblOffset val="100"/>
        <c:noMultiLvlLbl val="0"/>
      </c:catAx>
      <c:valAx>
        <c:axId val="635207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129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0.0811515631019299</c:v>
                </c:pt>
                <c:pt idx="8">
                  <c:v>0.0913084984389261</c:v>
                </c:pt>
                <c:pt idx="9">
                  <c:v>0.110044803558453</c:v>
                </c:pt>
                <c:pt idx="10">
                  <c:v>0.118556686774182</c:v>
                </c:pt>
                <c:pt idx="11">
                  <c:v>0.118005321958769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190054"/>
        <c:axId val="56463347"/>
      </c:lineChart>
      <c:catAx>
        <c:axId val="391900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463347"/>
        <c:crosses val="autoZero"/>
        <c:auto val="1"/>
        <c:lblAlgn val="ctr"/>
        <c:lblOffset val="100"/>
        <c:noMultiLvlLbl val="0"/>
      </c:catAx>
      <c:valAx>
        <c:axId val="564633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190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0.0119248483723654</c:v>
                </c:pt>
                <c:pt idx="8">
                  <c:v>0.0136833586555775</c:v>
                </c:pt>
                <c:pt idx="9">
                  <c:v>0.0143262645770975</c:v>
                </c:pt>
                <c:pt idx="10">
                  <c:v>0.0266328533205013</c:v>
                </c:pt>
                <c:pt idx="11">
                  <c:v>0.0111252038533733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257840"/>
        <c:axId val="29237616"/>
      </c:lineChart>
      <c:catAx>
        <c:axId val="3425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237616"/>
        <c:crosses val="autoZero"/>
        <c:auto val="1"/>
        <c:lblAlgn val="ctr"/>
        <c:lblOffset val="100"/>
        <c:noMultiLvlLbl val="0"/>
      </c:catAx>
      <c:valAx>
        <c:axId val="292376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257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0.0986141617299648</c:v>
                </c:pt>
                <c:pt idx="8">
                  <c:v>0.106184151127777</c:v>
                </c:pt>
                <c:pt idx="9">
                  <c:v>0.134068365695801</c:v>
                </c:pt>
                <c:pt idx="10">
                  <c:v>0.147196067415914</c:v>
                </c:pt>
                <c:pt idx="11">
                  <c:v>0.0834739849027276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305407"/>
        <c:axId val="5370186"/>
      </c:lineChart>
      <c:catAx>
        <c:axId val="46305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70186"/>
        <c:crosses val="autoZero"/>
        <c:auto val="1"/>
        <c:lblAlgn val="ctr"/>
        <c:lblOffset val="100"/>
        <c:noMultiLvlLbl val="0"/>
      </c:catAx>
      <c:valAx>
        <c:axId val="53701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305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0.0149623272863181</c:v>
                </c:pt>
                <c:pt idx="8">
                  <c:v>0.0164888166551978</c:v>
                </c:pt>
                <c:pt idx="9">
                  <c:v>0.0176249452448162</c:v>
                </c:pt>
                <c:pt idx="10">
                  <c:v>0.0328151298079986</c:v>
                </c:pt>
                <c:pt idx="11">
                  <c:v>0.014365808100406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548788"/>
        <c:axId val="1424492"/>
      </c:lineChart>
      <c:catAx>
        <c:axId val="795487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24492"/>
        <c:crosses val="autoZero"/>
        <c:auto val="1"/>
        <c:lblAlgn val="ctr"/>
        <c:lblOffset val="100"/>
        <c:noMultiLvlLbl val="0"/>
      </c:catAx>
      <c:valAx>
        <c:axId val="14244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5487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</c:v>
                </c:pt>
                <c:pt idx="1">
                  <c:v>0.222278694231685</c:v>
                </c:pt>
                <c:pt idx="2">
                  <c:v>0.244446576404795</c:v>
                </c:pt>
                <c:pt idx="3">
                  <c:v>0.154688014117258</c:v>
                </c:pt>
                <c:pt idx="4">
                  <c:v>0.354586188259498</c:v>
                </c:pt>
                <c:pt idx="5">
                  <c:v>0.162326753636935</c:v>
                </c:pt>
                <c:pt idx="6">
                  <c:v>0.181917809215022</c:v>
                </c:pt>
                <c:pt idx="7">
                  <c:v>0.151725949131824</c:v>
                </c:pt>
                <c:pt idx="8">
                  <c:v>0.155285101213983</c:v>
                </c:pt>
                <c:pt idx="9">
                  <c:v>0.131462371107044</c:v>
                </c:pt>
                <c:pt idx="10">
                  <c:v>0.222934826888254</c:v>
                </c:pt>
                <c:pt idx="11">
                  <c:v>0.172099224892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317054"/>
        <c:axId val="30453571"/>
      </c:lineChart>
      <c:catAx>
        <c:axId val="423170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453571"/>
        <c:crosses val="autoZero"/>
        <c:auto val="1"/>
        <c:lblAlgn val="ctr"/>
        <c:lblOffset val="100"/>
        <c:noMultiLvlLbl val="0"/>
      </c:catAx>
      <c:valAx>
        <c:axId val="304535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317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960228"/>
        <c:axId val="52150479"/>
      </c:lineChart>
      <c:catAx>
        <c:axId val="119602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150479"/>
        <c:crosses val="autoZero"/>
        <c:auto val="1"/>
        <c:lblAlgn val="ctr"/>
        <c:lblOffset val="100"/>
        <c:noMultiLvlLbl val="0"/>
      </c:catAx>
      <c:valAx>
        <c:axId val="521504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960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0.0973057139328281</c:v>
                </c:pt>
                <c:pt idx="1">
                  <c:v>0.117001298572336</c:v>
                </c:pt>
                <c:pt idx="2">
                  <c:v>0.141646831438888</c:v>
                </c:pt>
                <c:pt idx="3">
                  <c:v>0.137671451448472</c:v>
                </c:pt>
                <c:pt idx="4">
                  <c:v>0.128426792659372</c:v>
                </c:pt>
                <c:pt idx="5">
                  <c:v>0.207256740620624</c:v>
                </c:pt>
                <c:pt idx="6">
                  <c:v>0.153093259865906</c:v>
                </c:pt>
                <c:pt idx="7">
                  <c:v>0.156642912294494</c:v>
                </c:pt>
                <c:pt idx="8">
                  <c:v>0.170988942893796</c:v>
                </c:pt>
                <c:pt idx="9">
                  <c:v>0.198981366397959</c:v>
                </c:pt>
                <c:pt idx="10">
                  <c:v>0.169291779300697</c:v>
                </c:pt>
                <c:pt idx="11">
                  <c:v>0.217671019142678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07874"/>
        <c:axId val="47142161"/>
      </c:lineChart>
      <c:catAx>
        <c:axId val="67007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142161"/>
        <c:crosses val="autoZero"/>
        <c:auto val="1"/>
        <c:lblAlgn val="ctr"/>
        <c:lblOffset val="100"/>
        <c:noMultiLvlLbl val="0"/>
      </c:catAx>
      <c:valAx>
        <c:axId val="471421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007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0.0130853476559635</c:v>
                </c:pt>
                <c:pt idx="1">
                  <c:v>0.0136775821486569</c:v>
                </c:pt>
                <c:pt idx="2">
                  <c:v>0.0244129003925601</c:v>
                </c:pt>
                <c:pt idx="3">
                  <c:v>0.0213460808860974</c:v>
                </c:pt>
                <c:pt idx="4">
                  <c:v>0.0150629736555963</c:v>
                </c:pt>
                <c:pt idx="5">
                  <c:v>0.029971251780065</c:v>
                </c:pt>
                <c:pt idx="6">
                  <c:v>0.0226099680930987</c:v>
                </c:pt>
                <c:pt idx="7">
                  <c:v>0.0414171538511929</c:v>
                </c:pt>
                <c:pt idx="8">
                  <c:v>0.0243585718767602</c:v>
                </c:pt>
                <c:pt idx="9">
                  <c:v>0.0260419869988425</c:v>
                </c:pt>
                <c:pt idx="10">
                  <c:v>0.0235072482507174</c:v>
                </c:pt>
                <c:pt idx="11">
                  <c:v>0.0478104559891397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014325"/>
        <c:axId val="97153384"/>
      </c:lineChart>
      <c:catAx>
        <c:axId val="300143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153384"/>
        <c:crosses val="autoZero"/>
        <c:auto val="1"/>
        <c:lblAlgn val="ctr"/>
        <c:lblOffset val="100"/>
        <c:noMultiLvlLbl val="0"/>
      </c:catAx>
      <c:valAx>
        <c:axId val="971533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0143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083052"/>
        <c:axId val="6982217"/>
      </c:lineChart>
      <c:catAx>
        <c:axId val="120830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82217"/>
        <c:crosses val="autoZero"/>
        <c:auto val="1"/>
        <c:lblAlgn val="ctr"/>
        <c:lblOffset val="100"/>
        <c:noMultiLvlLbl val="0"/>
      </c:catAx>
      <c:valAx>
        <c:axId val="69822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083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291095"/>
        <c:axId val="70638917"/>
      </c:lineChart>
      <c:catAx>
        <c:axId val="942910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638917"/>
        <c:crosses val="autoZero"/>
        <c:auto val="1"/>
        <c:lblAlgn val="ctr"/>
        <c:lblOffset val="100"/>
        <c:noMultiLvlLbl val="0"/>
      </c:catAx>
      <c:valAx>
        <c:axId val="706389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291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943885"/>
        <c:axId val="78779284"/>
      </c:lineChart>
      <c:catAx>
        <c:axId val="72943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779284"/>
        <c:crosses val="autoZero"/>
        <c:auto val="1"/>
        <c:lblAlgn val="ctr"/>
        <c:lblOffset val="100"/>
        <c:noMultiLvlLbl val="0"/>
      </c:catAx>
      <c:valAx>
        <c:axId val="787792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9438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0.193901579716837</c:v>
                </c:pt>
                <c:pt idx="1">
                  <c:v>0.201265728527672</c:v>
                </c:pt>
                <c:pt idx="2">
                  <c:v>0.218225933495484</c:v>
                </c:pt>
                <c:pt idx="3">
                  <c:v>0.18570685492702</c:v>
                </c:pt>
                <c:pt idx="4">
                  <c:v>0.179836034111118</c:v>
                </c:pt>
                <c:pt idx="5">
                  <c:v>0.178241243662416</c:v>
                </c:pt>
                <c:pt idx="6">
                  <c:v>0.166432661749231</c:v>
                </c:pt>
                <c:pt idx="7">
                  <c:v>0.157042801695458</c:v>
                </c:pt>
                <c:pt idx="8">
                  <c:v>0.187840395566714</c:v>
                </c:pt>
                <c:pt idx="9">
                  <c:v>0.178856240973891</c:v>
                </c:pt>
                <c:pt idx="10">
                  <c:v>0.165111295420606</c:v>
                </c:pt>
                <c:pt idx="11">
                  <c:v>0.19037906205292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354763"/>
        <c:axId val="26283885"/>
      </c:lineChart>
      <c:catAx>
        <c:axId val="673547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283885"/>
        <c:crosses val="autoZero"/>
        <c:auto val="1"/>
        <c:lblAlgn val="ctr"/>
        <c:lblOffset val="100"/>
        <c:noMultiLvlLbl val="0"/>
      </c:catAx>
      <c:valAx>
        <c:axId val="262838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3547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</c:v>
                </c:pt>
                <c:pt idx="1">
                  <c:v>0.171110832223371</c:v>
                </c:pt>
                <c:pt idx="2">
                  <c:v>0.172644424111286</c:v>
                </c:pt>
                <c:pt idx="3">
                  <c:v>0.182395163878264</c:v>
                </c:pt>
                <c:pt idx="4">
                  <c:v>0.177985184636306</c:v>
                </c:pt>
                <c:pt idx="5">
                  <c:v>0.181854664930767</c:v>
                </c:pt>
                <c:pt idx="6">
                  <c:v>0.155366134171908</c:v>
                </c:pt>
                <c:pt idx="7">
                  <c:v>0.187192996478994</c:v>
                </c:pt>
                <c:pt idx="8">
                  <c:v>0.17533992927959</c:v>
                </c:pt>
                <c:pt idx="9">
                  <c:v>0.164076740210084</c:v>
                </c:pt>
                <c:pt idx="10">
                  <c:v>0.157785858893418</c:v>
                </c:pt>
                <c:pt idx="11">
                  <c:v>0.196120024331776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265030"/>
        <c:axId val="32241615"/>
      </c:lineChart>
      <c:catAx>
        <c:axId val="252650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241615"/>
        <c:crosses val="autoZero"/>
        <c:auto val="1"/>
        <c:lblAlgn val="ctr"/>
        <c:lblOffset val="100"/>
        <c:noMultiLvlLbl val="0"/>
      </c:catAx>
      <c:valAx>
        <c:axId val="322416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2650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0.264041925413907</c:v>
                </c:pt>
                <c:pt idx="1">
                  <c:v>0.184667358060428</c:v>
                </c:pt>
                <c:pt idx="2">
                  <c:v>0.193475725364045</c:v>
                </c:pt>
                <c:pt idx="3">
                  <c:v>0.184369795249497</c:v>
                </c:pt>
                <c:pt idx="4">
                  <c:v>0.175111927287505</c:v>
                </c:pt>
                <c:pt idx="5">
                  <c:v>0.179595896600265</c:v>
                </c:pt>
                <c:pt idx="6">
                  <c:v>0.161970601633822</c:v>
                </c:pt>
                <c:pt idx="7">
                  <c:v>0.168045304532977</c:v>
                </c:pt>
                <c:pt idx="8">
                  <c:v>0.176401608772313</c:v>
                </c:pt>
                <c:pt idx="9">
                  <c:v>0.172527188106427</c:v>
                </c:pt>
                <c:pt idx="10">
                  <c:v>0.162188959839552</c:v>
                </c:pt>
                <c:pt idx="11">
                  <c:v>0.192575687990907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030701"/>
        <c:axId val="97590652"/>
      </c:lineChart>
      <c:catAx>
        <c:axId val="710307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590652"/>
        <c:crosses val="autoZero"/>
        <c:auto val="1"/>
        <c:lblAlgn val="ctr"/>
        <c:lblOffset val="100"/>
        <c:noMultiLvlLbl val="0"/>
      </c:catAx>
      <c:valAx>
        <c:axId val="975906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0307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0.078664716692955</c:v>
                </c:pt>
                <c:pt idx="1">
                  <c:v>0.0776326366313713</c:v>
                </c:pt>
                <c:pt idx="2">
                  <c:v>0.078092985653231</c:v>
                </c:pt>
                <c:pt idx="3">
                  <c:v>0.0261726818670485</c:v>
                </c:pt>
                <c:pt idx="4">
                  <c:v>0.0163370214099975</c:v>
                </c:pt>
                <c:pt idx="5">
                  <c:v>0.0187538296583091</c:v>
                </c:pt>
                <c:pt idx="6">
                  <c:v>0.0166941868222615</c:v>
                </c:pt>
                <c:pt idx="7">
                  <c:v>0.0144701804905648</c:v>
                </c:pt>
                <c:pt idx="8">
                  <c:v>0.0191102838166136</c:v>
                </c:pt>
                <c:pt idx="9">
                  <c:v>0.0181782714061645</c:v>
                </c:pt>
                <c:pt idx="10">
                  <c:v>0.0283168895739492</c:v>
                </c:pt>
                <c:pt idx="11">
                  <c:v>0.0352996685596698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356618"/>
        <c:axId val="60624614"/>
      </c:lineChart>
      <c:catAx>
        <c:axId val="303566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624614"/>
        <c:crosses val="autoZero"/>
        <c:auto val="1"/>
        <c:lblAlgn val="ctr"/>
        <c:lblOffset val="100"/>
        <c:noMultiLvlLbl val="0"/>
      </c:catAx>
      <c:valAx>
        <c:axId val="606246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356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</c:v>
                </c:pt>
                <c:pt idx="1">
                  <c:v>0.26025528316054</c:v>
                </c:pt>
                <c:pt idx="2">
                  <c:v>0.208512443526456</c:v>
                </c:pt>
                <c:pt idx="3">
                  <c:v>0.0921470334291928</c:v>
                </c:pt>
                <c:pt idx="4">
                  <c:v>0.0627931921104416</c:v>
                </c:pt>
                <c:pt idx="5">
                  <c:v>0.0758313574193935</c:v>
                </c:pt>
                <c:pt idx="6">
                  <c:v>0.0758173289819237</c:v>
                </c:pt>
                <c:pt idx="7">
                  <c:v>0.0570743086101619</c:v>
                </c:pt>
                <c:pt idx="8">
                  <c:v>0.0840399884719572</c:v>
                </c:pt>
                <c:pt idx="9">
                  <c:v>0.0651667113828504</c:v>
                </c:pt>
                <c:pt idx="10">
                  <c:v>0.079267420151653</c:v>
                </c:pt>
                <c:pt idx="11">
                  <c:v>0.0767634002025472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589223"/>
        <c:axId val="80194495"/>
      </c:lineChart>
      <c:catAx>
        <c:axId val="48589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194495"/>
        <c:crosses val="autoZero"/>
        <c:auto val="1"/>
        <c:lblAlgn val="ctr"/>
        <c:lblOffset val="100"/>
        <c:noMultiLvlLbl val="0"/>
      </c:catAx>
      <c:valAx>
        <c:axId val="801944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589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0.0898283335629783</c:v>
                </c:pt>
                <c:pt idx="1">
                  <c:v>0.120902471592261</c:v>
                </c:pt>
                <c:pt idx="2">
                  <c:v>0.112051009895006</c:v>
                </c:pt>
                <c:pt idx="3">
                  <c:v>0.0366548033718451</c:v>
                </c:pt>
                <c:pt idx="4">
                  <c:v>0.0225034173909219</c:v>
                </c:pt>
                <c:pt idx="5">
                  <c:v>0.0262558899538136</c:v>
                </c:pt>
                <c:pt idx="6">
                  <c:v>0.0239035199997385</c:v>
                </c:pt>
                <c:pt idx="7">
                  <c:v>0.0207738324903944</c:v>
                </c:pt>
                <c:pt idx="8">
                  <c:v>0.0265412844285741</c:v>
                </c:pt>
                <c:pt idx="9">
                  <c:v>0.025735591321762</c:v>
                </c:pt>
                <c:pt idx="10">
                  <c:v>0.0377285851717377</c:v>
                </c:pt>
                <c:pt idx="11">
                  <c:v>0.0447101598963706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167930"/>
        <c:axId val="87884728"/>
      </c:lineChart>
      <c:catAx>
        <c:axId val="981679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884728"/>
        <c:crosses val="autoZero"/>
        <c:auto val="1"/>
        <c:lblAlgn val="ctr"/>
        <c:lblOffset val="100"/>
        <c:noMultiLvlLbl val="0"/>
      </c:catAx>
      <c:valAx>
        <c:axId val="87884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1679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6842105263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567608"/>
        <c:axId val="53088048"/>
      </c:lineChart>
      <c:catAx>
        <c:axId val="14567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088048"/>
        <c:crosses val="autoZero"/>
        <c:auto val="1"/>
        <c:lblAlgn val="ctr"/>
        <c:lblOffset val="100"/>
        <c:noMultiLvlLbl val="0"/>
      </c:catAx>
      <c:valAx>
        <c:axId val="530880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567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8216"/>
        <c:axId val="9497855"/>
      </c:lineChart>
      <c:catAx>
        <c:axId val="4018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97855"/>
        <c:crosses val="autoZero"/>
        <c:auto val="1"/>
        <c:lblAlgn val="ctr"/>
        <c:lblOffset val="100"/>
        <c:noMultiLvlLbl val="0"/>
      </c:catAx>
      <c:valAx>
        <c:axId val="94978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18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568841"/>
        <c:axId val="83434924"/>
      </c:lineChart>
      <c:catAx>
        <c:axId val="625688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434924"/>
        <c:crosses val="autoZero"/>
        <c:auto val="1"/>
        <c:lblAlgn val="ctr"/>
        <c:lblOffset val="100"/>
        <c:noMultiLvlLbl val="0"/>
      </c:catAx>
      <c:valAx>
        <c:axId val="834349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568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22</xdr:row>
      <xdr:rowOff>46440</xdr:rowOff>
    </xdr:from>
    <xdr:to>
      <xdr:col>5</xdr:col>
      <xdr:colOff>742680</xdr:colOff>
      <xdr:row>36</xdr:row>
      <xdr:rowOff>36720</xdr:rowOff>
    </xdr:to>
    <xdr:graphicFrame>
      <xdr:nvGraphicFramePr>
        <xdr:cNvPr id="0" name="Gráfico 1"/>
        <xdr:cNvGraphicFramePr/>
      </xdr:nvGraphicFramePr>
      <xdr:xfrm>
        <a:off x="312480" y="4067280"/>
        <a:ext cx="4321440" cy="252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152280</xdr:colOff>
      <xdr:row>22</xdr:row>
      <xdr:rowOff>46440</xdr:rowOff>
    </xdr:from>
    <xdr:to>
      <xdr:col>11</xdr:col>
      <xdr:colOff>218520</xdr:colOff>
      <xdr:row>36</xdr:row>
      <xdr:rowOff>46080</xdr:rowOff>
    </xdr:to>
    <xdr:graphicFrame>
      <xdr:nvGraphicFramePr>
        <xdr:cNvPr id="1" name="Gráfico 2"/>
        <xdr:cNvGraphicFramePr/>
      </xdr:nvGraphicFramePr>
      <xdr:xfrm>
        <a:off x="4891320" y="4067280"/>
        <a:ext cx="4621680" cy="25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361800</xdr:colOff>
      <xdr:row>22</xdr:row>
      <xdr:rowOff>27360</xdr:rowOff>
    </xdr:from>
    <xdr:to>
      <xdr:col>16</xdr:col>
      <xdr:colOff>713880</xdr:colOff>
      <xdr:row>36</xdr:row>
      <xdr:rowOff>74520</xdr:rowOff>
    </xdr:to>
    <xdr:graphicFrame>
      <xdr:nvGraphicFramePr>
        <xdr:cNvPr id="2" name="Gráfico 4"/>
        <xdr:cNvGraphicFramePr/>
      </xdr:nvGraphicFramePr>
      <xdr:xfrm>
        <a:off x="9656280" y="4048200"/>
        <a:ext cx="4590720" cy="258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2</xdr:row>
      <xdr:rowOff>25920</xdr:rowOff>
    </xdr:from>
    <xdr:to>
      <xdr:col>10</xdr:col>
      <xdr:colOff>114120</xdr:colOff>
      <xdr:row>16</xdr:row>
      <xdr:rowOff>120960</xdr:rowOff>
    </xdr:to>
    <xdr:graphicFrame>
      <xdr:nvGraphicFramePr>
        <xdr:cNvPr id="3" name="Gráfico 3"/>
        <xdr:cNvGraphicFramePr/>
      </xdr:nvGraphicFramePr>
      <xdr:xfrm>
        <a:off x="2771640" y="466560"/>
        <a:ext cx="581976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219240</xdr:colOff>
      <xdr:row>19</xdr:row>
      <xdr:rowOff>43560</xdr:rowOff>
    </xdr:from>
    <xdr:to>
      <xdr:col>10</xdr:col>
      <xdr:colOff>123480</xdr:colOff>
      <xdr:row>32</xdr:row>
      <xdr:rowOff>138960</xdr:rowOff>
    </xdr:to>
    <xdr:graphicFrame>
      <xdr:nvGraphicFramePr>
        <xdr:cNvPr id="4" name="Gráfico 4"/>
        <xdr:cNvGraphicFramePr/>
      </xdr:nvGraphicFramePr>
      <xdr:xfrm>
        <a:off x="2762280" y="3600360"/>
        <a:ext cx="5838480" cy="24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219240</xdr:colOff>
      <xdr:row>35</xdr:row>
      <xdr:rowOff>33120</xdr:rowOff>
    </xdr:from>
    <xdr:to>
      <xdr:col>10</xdr:col>
      <xdr:colOff>114120</xdr:colOff>
      <xdr:row>48</xdr:row>
      <xdr:rowOff>156600</xdr:rowOff>
    </xdr:to>
    <xdr:graphicFrame>
      <xdr:nvGraphicFramePr>
        <xdr:cNvPr id="5" name="Gráfico 5"/>
        <xdr:cNvGraphicFramePr/>
      </xdr:nvGraphicFramePr>
      <xdr:xfrm>
        <a:off x="2762280" y="6524640"/>
        <a:ext cx="582912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200160</xdr:colOff>
      <xdr:row>19</xdr:row>
      <xdr:rowOff>24480</xdr:rowOff>
    </xdr:from>
    <xdr:to>
      <xdr:col>20</xdr:col>
      <xdr:colOff>18720</xdr:colOff>
      <xdr:row>32</xdr:row>
      <xdr:rowOff>33840</xdr:rowOff>
    </xdr:to>
    <xdr:graphicFrame>
      <xdr:nvGraphicFramePr>
        <xdr:cNvPr id="6" name="Gráfico 2"/>
        <xdr:cNvGraphicFramePr/>
      </xdr:nvGraphicFramePr>
      <xdr:xfrm>
        <a:off x="10657440" y="3581280"/>
        <a:ext cx="5752440" cy="236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190440</xdr:colOff>
      <xdr:row>34</xdr:row>
      <xdr:rowOff>24840</xdr:rowOff>
    </xdr:from>
    <xdr:to>
      <xdr:col>20</xdr:col>
      <xdr:colOff>37800</xdr:colOff>
      <xdr:row>48</xdr:row>
      <xdr:rowOff>166320</xdr:rowOff>
    </xdr:to>
    <xdr:graphicFrame>
      <xdr:nvGraphicFramePr>
        <xdr:cNvPr id="7" name="Gráfico 6"/>
        <xdr:cNvGraphicFramePr/>
      </xdr:nvGraphicFramePr>
      <xdr:xfrm>
        <a:off x="10647720" y="6296040"/>
        <a:ext cx="578124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228600</xdr:colOff>
      <xdr:row>2</xdr:row>
      <xdr:rowOff>25920</xdr:rowOff>
    </xdr:from>
    <xdr:to>
      <xdr:col>20</xdr:col>
      <xdr:colOff>114120</xdr:colOff>
      <xdr:row>16</xdr:row>
      <xdr:rowOff>120960</xdr:rowOff>
    </xdr:to>
    <xdr:graphicFrame>
      <xdr:nvGraphicFramePr>
        <xdr:cNvPr id="8" name="Gráfico 7"/>
        <xdr:cNvGraphicFramePr/>
      </xdr:nvGraphicFramePr>
      <xdr:xfrm>
        <a:off x="10685880" y="466560"/>
        <a:ext cx="5819400" cy="262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219240</xdr:colOff>
      <xdr:row>2</xdr:row>
      <xdr:rowOff>34200</xdr:rowOff>
    </xdr:from>
    <xdr:to>
      <xdr:col>10</xdr:col>
      <xdr:colOff>742680</xdr:colOff>
      <xdr:row>17</xdr:row>
      <xdr:rowOff>14760</xdr:rowOff>
    </xdr:to>
    <xdr:graphicFrame>
      <xdr:nvGraphicFramePr>
        <xdr:cNvPr id="9" name="Gráfico 4"/>
        <xdr:cNvGraphicFramePr/>
      </xdr:nvGraphicFramePr>
      <xdr:xfrm>
        <a:off x="2865960" y="504720"/>
        <a:ext cx="651636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276120</xdr:colOff>
      <xdr:row>19</xdr:row>
      <xdr:rowOff>80640</xdr:rowOff>
    </xdr:from>
    <xdr:to>
      <xdr:col>10</xdr:col>
      <xdr:colOff>732960</xdr:colOff>
      <xdr:row>32</xdr:row>
      <xdr:rowOff>156240</xdr:rowOff>
    </xdr:to>
    <xdr:graphicFrame>
      <xdr:nvGraphicFramePr>
        <xdr:cNvPr id="10" name="Gráfico 5"/>
        <xdr:cNvGraphicFramePr/>
      </xdr:nvGraphicFramePr>
      <xdr:xfrm>
        <a:off x="2922840" y="3666960"/>
        <a:ext cx="644976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384840</xdr:colOff>
      <xdr:row>35</xdr:row>
      <xdr:rowOff>147960</xdr:rowOff>
    </xdr:from>
    <xdr:to>
      <xdr:col>11</xdr:col>
      <xdr:colOff>49320</xdr:colOff>
      <xdr:row>48</xdr:row>
      <xdr:rowOff>109440</xdr:rowOff>
    </xdr:to>
    <xdr:graphicFrame>
      <xdr:nvGraphicFramePr>
        <xdr:cNvPr id="11" name="Gráfico 6"/>
        <xdr:cNvGraphicFramePr/>
      </xdr:nvGraphicFramePr>
      <xdr:xfrm>
        <a:off x="3031560" y="6669360"/>
        <a:ext cx="650520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72360</xdr:rowOff>
    </xdr:from>
    <xdr:to>
      <xdr:col>16</xdr:col>
      <xdr:colOff>552240</xdr:colOff>
      <xdr:row>16</xdr:row>
      <xdr:rowOff>43560</xdr:rowOff>
    </xdr:to>
    <xdr:graphicFrame>
      <xdr:nvGraphicFramePr>
        <xdr:cNvPr id="12" name="Gráfico 2"/>
        <xdr:cNvGraphicFramePr/>
      </xdr:nvGraphicFramePr>
      <xdr:xfrm>
        <a:off x="9325080" y="723960"/>
        <a:ext cx="47908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85680</xdr:colOff>
      <xdr:row>3</xdr:row>
      <xdr:rowOff>63000</xdr:rowOff>
    </xdr:from>
    <xdr:to>
      <xdr:col>24</xdr:col>
      <xdr:colOff>675720</xdr:colOff>
      <xdr:row>16</xdr:row>
      <xdr:rowOff>34200</xdr:rowOff>
    </xdr:to>
    <xdr:graphicFrame>
      <xdr:nvGraphicFramePr>
        <xdr:cNvPr id="13" name="Gráfico 3"/>
        <xdr:cNvGraphicFramePr/>
      </xdr:nvGraphicFramePr>
      <xdr:xfrm>
        <a:off x="16192440" y="714600"/>
        <a:ext cx="482868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171360</xdr:colOff>
      <xdr:row>3</xdr:row>
      <xdr:rowOff>24840</xdr:rowOff>
    </xdr:from>
    <xdr:to>
      <xdr:col>8</xdr:col>
      <xdr:colOff>685440</xdr:colOff>
      <xdr:row>16</xdr:row>
      <xdr:rowOff>14760</xdr:rowOff>
    </xdr:to>
    <xdr:graphicFrame>
      <xdr:nvGraphicFramePr>
        <xdr:cNvPr id="14" name="Gráfico 4"/>
        <xdr:cNvGraphicFramePr/>
      </xdr:nvGraphicFramePr>
      <xdr:xfrm>
        <a:off x="2714400" y="676440"/>
        <a:ext cx="475272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114480</xdr:colOff>
      <xdr:row>19</xdr:row>
      <xdr:rowOff>61560</xdr:rowOff>
    </xdr:from>
    <xdr:to>
      <xdr:col>8</xdr:col>
      <xdr:colOff>676080</xdr:colOff>
      <xdr:row>32</xdr:row>
      <xdr:rowOff>41760</xdr:rowOff>
    </xdr:to>
    <xdr:graphicFrame>
      <xdr:nvGraphicFramePr>
        <xdr:cNvPr id="15" name="Gráfico 5"/>
        <xdr:cNvGraphicFramePr/>
      </xdr:nvGraphicFramePr>
      <xdr:xfrm>
        <a:off x="2657520" y="3647880"/>
        <a:ext cx="4800240" cy="23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19080</xdr:colOff>
      <xdr:row>19</xdr:row>
      <xdr:rowOff>80640</xdr:rowOff>
    </xdr:from>
    <xdr:to>
      <xdr:col>16</xdr:col>
      <xdr:colOff>590400</xdr:colOff>
      <xdr:row>32</xdr:row>
      <xdr:rowOff>41760</xdr:rowOff>
    </xdr:to>
    <xdr:graphicFrame>
      <xdr:nvGraphicFramePr>
        <xdr:cNvPr id="16" name="Gráfico 6"/>
        <xdr:cNvGraphicFramePr/>
      </xdr:nvGraphicFramePr>
      <xdr:xfrm>
        <a:off x="9344160" y="3666960"/>
        <a:ext cx="4809960" cy="231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57240</xdr:colOff>
      <xdr:row>19</xdr:row>
      <xdr:rowOff>90360</xdr:rowOff>
    </xdr:from>
    <xdr:to>
      <xdr:col>24</xdr:col>
      <xdr:colOff>628560</xdr:colOff>
      <xdr:row>32</xdr:row>
      <xdr:rowOff>32760</xdr:rowOff>
    </xdr:to>
    <xdr:graphicFrame>
      <xdr:nvGraphicFramePr>
        <xdr:cNvPr id="17" name="Gráfico 7"/>
        <xdr:cNvGraphicFramePr/>
      </xdr:nvGraphicFramePr>
      <xdr:xfrm>
        <a:off x="16164000" y="367668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95400</xdr:colOff>
      <xdr:row>35</xdr:row>
      <xdr:rowOff>117720</xdr:rowOff>
    </xdr:from>
    <xdr:to>
      <xdr:col>8</xdr:col>
      <xdr:colOff>704520</xdr:colOff>
      <xdr:row>48</xdr:row>
      <xdr:rowOff>31680</xdr:rowOff>
    </xdr:to>
    <xdr:graphicFrame>
      <xdr:nvGraphicFramePr>
        <xdr:cNvPr id="18" name="Gráfico 8"/>
        <xdr:cNvGraphicFramePr/>
      </xdr:nvGraphicFramePr>
      <xdr:xfrm>
        <a:off x="2638440" y="6639120"/>
        <a:ext cx="484776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24840</xdr:colOff>
      <xdr:row>35</xdr:row>
      <xdr:rowOff>98640</xdr:rowOff>
    </xdr:from>
    <xdr:to>
      <xdr:col>16</xdr:col>
      <xdr:colOff>586440</xdr:colOff>
      <xdr:row>48</xdr:row>
      <xdr:rowOff>12600</xdr:rowOff>
    </xdr:to>
    <xdr:graphicFrame>
      <xdr:nvGraphicFramePr>
        <xdr:cNvPr id="19" name="Gráfico 9"/>
        <xdr:cNvGraphicFramePr/>
      </xdr:nvGraphicFramePr>
      <xdr:xfrm>
        <a:off x="9349920" y="6620040"/>
        <a:ext cx="480024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152280</xdr:colOff>
      <xdr:row>35</xdr:row>
      <xdr:rowOff>50760</xdr:rowOff>
    </xdr:from>
    <xdr:to>
      <xdr:col>24</xdr:col>
      <xdr:colOff>618480</xdr:colOff>
      <xdr:row>48</xdr:row>
      <xdr:rowOff>2520</xdr:rowOff>
    </xdr:to>
    <xdr:graphicFrame>
      <xdr:nvGraphicFramePr>
        <xdr:cNvPr id="20" name="Gráfico 10"/>
        <xdr:cNvGraphicFramePr/>
      </xdr:nvGraphicFramePr>
      <xdr:xfrm>
        <a:off x="16259040" y="657216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85680</xdr:colOff>
      <xdr:row>3</xdr:row>
      <xdr:rowOff>46440</xdr:rowOff>
    </xdr:from>
    <xdr:to>
      <xdr:col>8</xdr:col>
      <xdr:colOff>675720</xdr:colOff>
      <xdr:row>16</xdr:row>
      <xdr:rowOff>17640</xdr:rowOff>
    </xdr:to>
    <xdr:graphicFrame>
      <xdr:nvGraphicFramePr>
        <xdr:cNvPr id="21" name="Gráfico 1"/>
        <xdr:cNvGraphicFramePr/>
      </xdr:nvGraphicFramePr>
      <xdr:xfrm>
        <a:off x="2972520" y="628560"/>
        <a:ext cx="4828680" cy="23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57240</xdr:colOff>
      <xdr:row>19</xdr:row>
      <xdr:rowOff>73800</xdr:rowOff>
    </xdr:from>
    <xdr:to>
      <xdr:col>8</xdr:col>
      <xdr:colOff>628560</xdr:colOff>
      <xdr:row>32</xdr:row>
      <xdr:rowOff>16560</xdr:rowOff>
    </xdr:to>
    <xdr:graphicFrame>
      <xdr:nvGraphicFramePr>
        <xdr:cNvPr id="22" name="Gráfico 2"/>
        <xdr:cNvGraphicFramePr/>
      </xdr:nvGraphicFramePr>
      <xdr:xfrm>
        <a:off x="2944080" y="3591000"/>
        <a:ext cx="4809960" cy="229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152280</xdr:colOff>
      <xdr:row>35</xdr:row>
      <xdr:rowOff>34200</xdr:rowOff>
    </xdr:from>
    <xdr:to>
      <xdr:col>8</xdr:col>
      <xdr:colOff>618480</xdr:colOff>
      <xdr:row>47</xdr:row>
      <xdr:rowOff>167040</xdr:rowOff>
    </xdr:to>
    <xdr:graphicFrame>
      <xdr:nvGraphicFramePr>
        <xdr:cNvPr id="23" name="Gráfico 3"/>
        <xdr:cNvGraphicFramePr/>
      </xdr:nvGraphicFramePr>
      <xdr:xfrm>
        <a:off x="3039120" y="6486480"/>
        <a:ext cx="4704840" cy="230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3.67"/>
    <col collapsed="false" customWidth="true" hidden="false" outlineLevel="0" max="4" min="3" style="0" width="11.89"/>
    <col collapsed="false" customWidth="true" hidden="false" outlineLevel="0" max="10" min="10" style="0" width="14.56"/>
  </cols>
  <sheetData>
    <row r="2" customFormat="false" ht="17.3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2" t="s">
        <v>1</v>
      </c>
    </row>
    <row r="4" customFormat="false" ht="14.25" hidden="false" customHeight="false" outlineLevel="0" collapsed="false">
      <c r="L4" s="0" t="s">
        <v>2</v>
      </c>
    </row>
    <row r="5" customFormat="false" ht="14.25" hidden="false" customHeight="false" outlineLevel="0" collapsed="false">
      <c r="C5" s="3" t="s">
        <v>3</v>
      </c>
      <c r="D5" s="4" t="s">
        <v>4</v>
      </c>
      <c r="E5" s="3" t="s">
        <v>5</v>
      </c>
      <c r="F5" s="4" t="s">
        <v>4</v>
      </c>
      <c r="G5" s="3" t="s">
        <v>6</v>
      </c>
      <c r="H5" s="4" t="s">
        <v>4</v>
      </c>
      <c r="L5" s="3" t="s">
        <v>3</v>
      </c>
      <c r="M5" s="3" t="s">
        <v>5</v>
      </c>
      <c r="N5" s="3" t="s">
        <v>6</v>
      </c>
    </row>
    <row r="6" customFormat="false" ht="14.25" hidden="false" customHeight="false" outlineLevel="0" collapsed="false">
      <c r="B6" s="5" t="n">
        <v>2023</v>
      </c>
      <c r="C6" s="6" t="n">
        <f aca="false">datos23!G56</f>
        <v>0.09800056695399</v>
      </c>
      <c r="D6" s="7"/>
      <c r="E6" s="6" t="n">
        <f aca="false">datos23!I56</f>
        <v>0.0170206723700866</v>
      </c>
      <c r="F6" s="7"/>
      <c r="G6" s="6" t="n">
        <f aca="false">datos23!J56</f>
        <v>0.165413839969757</v>
      </c>
      <c r="H6" s="7"/>
      <c r="I6" s="8" t="s">
        <v>7</v>
      </c>
      <c r="K6" s="5" t="n">
        <v>2023</v>
      </c>
      <c r="L6" s="6" t="n">
        <f aca="false">C6</f>
        <v>0.09800056695399</v>
      </c>
      <c r="M6" s="6" t="n">
        <f aca="false">E6</f>
        <v>0.0170206723700866</v>
      </c>
      <c r="N6" s="6" t="n">
        <f aca="false">G6</f>
        <v>0.165413839969757</v>
      </c>
    </row>
    <row r="7" customFormat="false" ht="14.25" hidden="false" customHeight="false" outlineLevel="0" collapsed="false">
      <c r="B7" s="5" t="n">
        <v>2024</v>
      </c>
      <c r="C7" s="6" t="n">
        <f aca="false">datos24!G56</f>
        <v>0.163416250072272</v>
      </c>
      <c r="D7" s="9" t="n">
        <f aca="false">(C7-C6)/C6*100</f>
        <v>66.750310892583</v>
      </c>
      <c r="E7" s="6" t="n">
        <f aca="false">datos24!I56</f>
        <v>0.0230611909419524</v>
      </c>
      <c r="F7" s="9" t="n">
        <f aca="false">(E7-E6)/E6*100</f>
        <v>35.4893064182458</v>
      </c>
      <c r="G7" s="6" t="n">
        <f aca="false">datos24!J56</f>
        <v>0.133335785844798</v>
      </c>
      <c r="H7" s="9" t="n">
        <f aca="false">(G7-G6)/G6*100</f>
        <v>-19.3926059215023</v>
      </c>
      <c r="K7" s="5" t="n">
        <v>2024</v>
      </c>
      <c r="L7" s="6" t="n">
        <f aca="false">C7</f>
        <v>0.163416250072272</v>
      </c>
      <c r="M7" s="6" t="n">
        <f aca="false">E7</f>
        <v>0.0230611909419524</v>
      </c>
      <c r="N7" s="6" t="n">
        <v>0.1633</v>
      </c>
    </row>
    <row r="8" customFormat="false" ht="14.25" hidden="false" customHeight="false" outlineLevel="0" collapsed="false">
      <c r="B8" s="10" t="n">
        <v>2025</v>
      </c>
      <c r="C8" s="6" t="n">
        <f aca="false">datos25!G56</f>
        <v>0.18298167824586</v>
      </c>
      <c r="D8" s="9" t="n">
        <f aca="false">(C8-C7)/C7*100</f>
        <v>11.972755564355</v>
      </c>
      <c r="E8" s="6" t="n">
        <f aca="false">datos25!I56</f>
        <v>0.0333785052408256</v>
      </c>
      <c r="F8" s="9" t="n">
        <f aca="false">(E8-E7)/E7*100</f>
        <v>44.7388616001793</v>
      </c>
      <c r="G8" s="6" t="n">
        <f aca="false">datos25!J56</f>
        <v>0.166441846483217</v>
      </c>
      <c r="H8" s="9" t="n">
        <f aca="false">(G8-G7)/G7*100</f>
        <v>24.8290887766276</v>
      </c>
      <c r="I8" s="11"/>
      <c r="K8" s="10" t="n">
        <v>2025</v>
      </c>
      <c r="L8" s="6" t="n">
        <f aca="false">C8</f>
        <v>0.18298167824586</v>
      </c>
      <c r="M8" s="6" t="n">
        <f aca="false">E8</f>
        <v>0.0333785052408256</v>
      </c>
      <c r="N8" s="6" t="n">
        <f aca="false">G8</f>
        <v>0.166441846483217</v>
      </c>
      <c r="O8" s="12"/>
    </row>
    <row r="9" customFormat="false" ht="14.25" hidden="false" customHeight="false" outlineLevel="0" collapsed="false">
      <c r="B9" s="10" t="n">
        <v>2026</v>
      </c>
      <c r="C9" s="6" t="n">
        <f aca="false">datos26!G56</f>
        <v>0</v>
      </c>
      <c r="D9" s="9" t="n">
        <f aca="false">(C9-C8)/C8*100</f>
        <v>-100</v>
      </c>
      <c r="E9" s="6" t="n">
        <f aca="false">datos26!I56</f>
        <v>0</v>
      </c>
      <c r="F9" s="9" t="n">
        <f aca="false">(E9-E8)/E8*100</f>
        <v>-100</v>
      </c>
      <c r="G9" s="6" t="n">
        <f aca="false">datos26!J56</f>
        <v>0</v>
      </c>
      <c r="H9" s="9" t="n">
        <f aca="false">(G9-G8)/G8*100</f>
        <v>-100</v>
      </c>
      <c r="I9" s="11"/>
      <c r="K9" s="10" t="n">
        <v>2026</v>
      </c>
      <c r="L9" s="6" t="n">
        <f aca="false">C9</f>
        <v>0</v>
      </c>
      <c r="M9" s="6" t="n">
        <f aca="false">E9</f>
        <v>0</v>
      </c>
      <c r="N9" s="6" t="n">
        <f aca="false">G9</f>
        <v>0</v>
      </c>
      <c r="O9" s="12"/>
    </row>
    <row r="11" customFormat="false" ht="14.25" hidden="false" customHeight="false" outlineLevel="0" collapsed="false">
      <c r="C11" s="3" t="s">
        <v>3</v>
      </c>
      <c r="D11" s="4" t="s">
        <v>4</v>
      </c>
      <c r="E11" s="3" t="s">
        <v>5</v>
      </c>
      <c r="F11" s="4" t="s">
        <v>4</v>
      </c>
      <c r="G11" s="3" t="s">
        <v>6</v>
      </c>
      <c r="H11" s="4" t="s">
        <v>4</v>
      </c>
      <c r="L11" s="3" t="s">
        <v>3</v>
      </c>
      <c r="M11" s="3" t="s">
        <v>5</v>
      </c>
      <c r="N11" s="3" t="s">
        <v>6</v>
      </c>
    </row>
    <row r="12" customFormat="false" ht="14.25" hidden="false" customHeight="false" outlineLevel="0" collapsed="false">
      <c r="B12" s="5" t="n">
        <v>2023</v>
      </c>
      <c r="C12" s="6" t="n">
        <f aca="false">datos23!G19</f>
        <v>0.084701111535064</v>
      </c>
      <c r="D12" s="7"/>
      <c r="E12" s="6" t="n">
        <f aca="false">datos23!I19</f>
        <v>0.013540315833293</v>
      </c>
      <c r="F12" s="7"/>
      <c r="G12" s="6" t="n">
        <f aca="false">datos23!J19</f>
        <v>0.144230421901603</v>
      </c>
      <c r="H12" s="7"/>
      <c r="I12" s="8" t="s">
        <v>8</v>
      </c>
      <c r="K12" s="5" t="n">
        <v>2023</v>
      </c>
      <c r="L12" s="6" t="n">
        <f aca="false">C12</f>
        <v>0.084701111535064</v>
      </c>
      <c r="M12" s="6" t="n">
        <f aca="false">E12</f>
        <v>0.013540315833293</v>
      </c>
      <c r="N12" s="6" t="n">
        <f aca="false">G12</f>
        <v>0.144230421901603</v>
      </c>
    </row>
    <row r="13" customFormat="false" ht="14.25" hidden="false" customHeight="false" outlineLevel="0" collapsed="false">
      <c r="B13" s="5" t="n">
        <v>2024</v>
      </c>
      <c r="C13" s="6" t="n">
        <f aca="false">datos24!G19</f>
        <v>0.133379682423305</v>
      </c>
      <c r="D13" s="9" t="n">
        <f aca="false">(C13-C12)/C12*100</f>
        <v>57.4709941888885</v>
      </c>
      <c r="E13" s="6" t="n">
        <f aca="false">datos24!I19</f>
        <v>0.0188262412384559</v>
      </c>
      <c r="F13" s="9" t="n">
        <f aca="false">(E13-E12)/E12*100</f>
        <v>39.0384203015844</v>
      </c>
      <c r="G13" s="6" t="n">
        <f aca="false">datos24!J19</f>
        <v>0.132665170964991</v>
      </c>
      <c r="H13" s="9" t="n">
        <f aca="false">(G13-G12)/G12*100</f>
        <v>-8.01859329268403</v>
      </c>
      <c r="K13" s="5" t="n">
        <v>2024</v>
      </c>
      <c r="L13" s="6" t="n">
        <f aca="false">C13</f>
        <v>0.133379682423305</v>
      </c>
      <c r="M13" s="6" t="n">
        <f aca="false">E13</f>
        <v>0.0188262412384559</v>
      </c>
      <c r="N13" s="6" t="n">
        <f aca="false">G13</f>
        <v>0.132665170964991</v>
      </c>
    </row>
    <row r="14" customFormat="false" ht="14.25" hidden="false" customHeight="false" outlineLevel="0" collapsed="false">
      <c r="B14" s="10" t="n">
        <v>2025</v>
      </c>
      <c r="C14" s="6" t="n">
        <f aca="false">datos25!G19</f>
        <v>0.182319249899335</v>
      </c>
      <c r="D14" s="9" t="n">
        <f aca="false">(C14-C13)/C13*100</f>
        <v>36.6919208284754</v>
      </c>
      <c r="E14" s="6" t="n">
        <f aca="false">datos25!I19</f>
        <v>0.0233518909546739</v>
      </c>
      <c r="F14" s="9" t="n">
        <f aca="false">(E14-E13)/E13*100</f>
        <v>24.0390509124765</v>
      </c>
      <c r="G14" s="6" t="n">
        <f aca="false">datos25!J19</f>
        <v>0.115850720151625</v>
      </c>
      <c r="H14" s="9" t="n">
        <f aca="false">(G14-G13)/G13*100</f>
        <v>-12.6743520481373</v>
      </c>
      <c r="I14" s="11"/>
      <c r="K14" s="5" t="n">
        <v>2025</v>
      </c>
      <c r="L14" s="6" t="n">
        <f aca="false">C14</f>
        <v>0.182319249899335</v>
      </c>
      <c r="M14" s="6" t="n">
        <f aca="false">E14</f>
        <v>0.0233518909546739</v>
      </c>
      <c r="N14" s="6" t="n">
        <f aca="false">G14</f>
        <v>0.115850720151625</v>
      </c>
    </row>
    <row r="15" customFormat="false" ht="14.25" hidden="false" customHeight="false" outlineLevel="0" collapsed="false">
      <c r="B15" s="10" t="n">
        <v>2026</v>
      </c>
      <c r="C15" s="6" t="n">
        <f aca="false">datos26!F17</f>
        <v>0.184987593974885</v>
      </c>
      <c r="D15" s="9" t="n">
        <f aca="false">(C15-C14)/C14*100</f>
        <v>1.46355586534242</v>
      </c>
      <c r="E15" s="6" t="n">
        <f aca="false">datos26!H17</f>
        <v>0.0436453913282574</v>
      </c>
      <c r="F15" s="9" t="n">
        <f aca="false">(E15-E14)/E14*100</f>
        <v>86.9030281657844</v>
      </c>
      <c r="G15" s="6" t="n">
        <f aca="false">datos26!I17</f>
        <v>0.238145027523377</v>
      </c>
      <c r="H15" s="9" t="n">
        <f aca="false">(G15-G14)/G14*100</f>
        <v>105.561974247285</v>
      </c>
      <c r="I15" s="11"/>
      <c r="K15" s="5" t="n">
        <v>2026</v>
      </c>
      <c r="L15" s="6" t="n">
        <f aca="false">C15</f>
        <v>0.184987593974885</v>
      </c>
      <c r="M15" s="6" t="n">
        <f aca="false">E15</f>
        <v>0.0436453913282574</v>
      </c>
      <c r="N15" s="6" t="n">
        <f aca="false">G15</f>
        <v>0.238145027523377</v>
      </c>
    </row>
    <row r="16" customFormat="false" ht="14.25" hidden="false" customHeight="false" outlineLevel="0" collapsed="false">
      <c r="K16" s="13"/>
    </row>
    <row r="17" customFormat="false" ht="14.25" hidden="false" customHeight="false" outlineLevel="0" collapsed="false">
      <c r="C17" s="3" t="s">
        <v>3</v>
      </c>
      <c r="D17" s="4" t="s">
        <v>4</v>
      </c>
      <c r="E17" s="3" t="s">
        <v>9</v>
      </c>
      <c r="F17" s="4" t="s">
        <v>4</v>
      </c>
      <c r="G17" s="3" t="s">
        <v>10</v>
      </c>
      <c r="H17" s="4" t="s">
        <v>4</v>
      </c>
      <c r="K17" s="13"/>
      <c r="L17" s="3" t="s">
        <v>3</v>
      </c>
      <c r="M17" s="3" t="s">
        <v>9</v>
      </c>
      <c r="N17" s="3" t="s">
        <v>10</v>
      </c>
    </row>
    <row r="18" customFormat="false" ht="14.25" hidden="false" customHeight="false" outlineLevel="0" collapsed="false">
      <c r="B18" s="5" t="n">
        <v>2023</v>
      </c>
      <c r="C18" s="6" t="n">
        <f aca="false">datos23!G37</f>
        <v>1.01206624577438</v>
      </c>
      <c r="D18" s="7"/>
      <c r="E18" s="6" t="n">
        <f aca="false">datos23!I37</f>
        <v>0.587459405209725</v>
      </c>
      <c r="F18" s="7"/>
      <c r="G18" s="6" t="n">
        <f aca="false">datos23!J37</f>
        <v>1.20469415307924</v>
      </c>
      <c r="H18" s="7"/>
      <c r="I18" s="8" t="s">
        <v>11</v>
      </c>
      <c r="K18" s="5" t="n">
        <v>2023</v>
      </c>
      <c r="L18" s="6" t="n">
        <f aca="false">C18</f>
        <v>1.01206624577438</v>
      </c>
      <c r="M18" s="6" t="n">
        <f aca="false">E18</f>
        <v>0.587459405209725</v>
      </c>
      <c r="N18" s="6" t="n">
        <f aca="false">G18</f>
        <v>1.20469415307924</v>
      </c>
    </row>
    <row r="19" customFormat="false" ht="14.25" hidden="false" customHeight="false" outlineLevel="0" collapsed="false">
      <c r="B19" s="5" t="n">
        <v>2024</v>
      </c>
      <c r="C19" s="6" t="n">
        <f aca="false">datos24!G37</f>
        <v>3.0574800654127</v>
      </c>
      <c r="D19" s="9" t="n">
        <f aca="false">(C19-C18)/C18*100</f>
        <v>202.102760385344</v>
      </c>
      <c r="E19" s="6" t="n">
        <f aca="false">datos24!I37</f>
        <v>0.736394334804602</v>
      </c>
      <c r="F19" s="9" t="n">
        <f aca="false">(E19-E18)/E18*100</f>
        <v>25.3523781003569</v>
      </c>
      <c r="G19" s="6" t="n">
        <f aca="false">datos24!J37</f>
        <v>0.242350605353134</v>
      </c>
      <c r="H19" s="9" t="n">
        <f aca="false">(G19-G18)/G18*100</f>
        <v>-79.8828105263334</v>
      </c>
      <c r="K19" s="5" t="n">
        <v>2024</v>
      </c>
      <c r="L19" s="6" t="n">
        <f aca="false">C19</f>
        <v>3.0574800654127</v>
      </c>
      <c r="M19" s="6" t="n">
        <f aca="false">E19</f>
        <v>0.736394334804602</v>
      </c>
      <c r="N19" s="6" t="n">
        <f aca="false">G19</f>
        <v>0.242350605353134</v>
      </c>
    </row>
    <row r="20" customFormat="false" ht="14.25" hidden="false" customHeight="false" outlineLevel="0" collapsed="false">
      <c r="B20" s="10" t="n">
        <v>2025</v>
      </c>
      <c r="C20" s="6" t="n">
        <f aca="false">datos25!G37</f>
        <v>0.194652882503394</v>
      </c>
      <c r="D20" s="9" t="n">
        <f aca="false">(C20-C19)/C19*100</f>
        <v>-93.6335518682403</v>
      </c>
      <c r="E20" s="6" t="n">
        <f aca="false">datos25!I37</f>
        <v>0.0866672046270065</v>
      </c>
      <c r="F20" s="9" t="n">
        <f aca="false">(E20-E19)/E19*100</f>
        <v>-88.2308702646384</v>
      </c>
      <c r="G20" s="6" t="n">
        <f aca="false">datos25!J37</f>
        <v>0.429892444828197</v>
      </c>
      <c r="H20" s="9" t="n">
        <f aca="false">(G20-G19)/G19*100</f>
        <v>77.3845145555926</v>
      </c>
      <c r="I20" s="11"/>
      <c r="K20" s="5" t="n">
        <v>2025</v>
      </c>
      <c r="L20" s="6" t="n">
        <f aca="false">C20</f>
        <v>0.194652882503394</v>
      </c>
      <c r="M20" s="6" t="n">
        <f aca="false">E20</f>
        <v>0.0866672046270065</v>
      </c>
      <c r="N20" s="6" t="n">
        <f aca="false">G20</f>
        <v>0.429892444828197</v>
      </c>
    </row>
    <row r="21" customFormat="false" ht="14.25" hidden="false" customHeight="false" outlineLevel="0" collapsed="false">
      <c r="B21" s="10" t="n">
        <v>2026</v>
      </c>
      <c r="C21" s="6" t="n">
        <f aca="false">datos26!F35</f>
        <v>0</v>
      </c>
      <c r="D21" s="9" t="n">
        <f aca="false">(C21-C20)/C20*100</f>
        <v>-100</v>
      </c>
      <c r="E21" s="6" t="n">
        <f aca="false">datos26!H35</f>
        <v>0</v>
      </c>
      <c r="F21" s="9" t="n">
        <f aca="false">(E21-E20)/E20*100</f>
        <v>-100</v>
      </c>
      <c r="G21" s="6" t="n">
        <f aca="false">datos26!I35</f>
        <v>0</v>
      </c>
      <c r="H21" s="9" t="n">
        <f aca="false">(G21-G20)/G20*100</f>
        <v>-100</v>
      </c>
      <c r="I21" s="11"/>
      <c r="K21" s="5" t="n">
        <v>2026</v>
      </c>
      <c r="L21" s="6" t="n">
        <f aca="false">C21</f>
        <v>0</v>
      </c>
      <c r="M21" s="6" t="n">
        <f aca="false">E21</f>
        <v>0</v>
      </c>
      <c r="N21" s="6" t="n">
        <f aca="false">G21</f>
        <v>0</v>
      </c>
    </row>
    <row r="22" customFormat="false" ht="14.25" hidden="false" customHeight="false" outlineLevel="0" collapsed="false">
      <c r="K22" s="5"/>
      <c r="L22" s="6"/>
      <c r="M22" s="6"/>
      <c r="N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38" activeCellId="0" sqref="B38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0" width="9.56"/>
    <col collapsed="false" customWidth="true" hidden="false" outlineLevel="0" max="6" min="6" style="0" width="9.44"/>
    <col collapsed="false" customWidth="true" hidden="false" outlineLevel="0" max="9" min="9" style="0" width="11"/>
    <col collapsed="false" customWidth="true" hidden="false" outlineLevel="0" max="10" min="10" style="0" width="12.89"/>
    <col collapsed="false" customWidth="true" hidden="false" outlineLevel="0" max="11" min="11" style="0" width="10.67"/>
  </cols>
  <sheetData>
    <row r="2" customFormat="false" ht="14.25" hidden="false" customHeight="false" outlineLevel="0" collapsed="false">
      <c r="B2" s="14" t="s">
        <v>12</v>
      </c>
      <c r="C2" s="15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17"/>
      <c r="C4" s="18" t="s">
        <v>14</v>
      </c>
      <c r="D4" s="18" t="s">
        <v>15</v>
      </c>
      <c r="E4" s="18" t="s">
        <v>16</v>
      </c>
      <c r="F4" s="18" t="s">
        <v>17</v>
      </c>
      <c r="G4" s="18" t="s">
        <v>18</v>
      </c>
      <c r="H4" s="18" t="s">
        <v>19</v>
      </c>
      <c r="I4" s="18" t="s">
        <v>20</v>
      </c>
      <c r="J4" s="19" t="s">
        <v>21</v>
      </c>
    </row>
    <row r="5" customFormat="false" ht="14.25" hidden="false" customHeight="false" outlineLevel="0" collapsed="false">
      <c r="B5" s="18" t="s">
        <v>22</v>
      </c>
      <c r="C5" s="20" t="n">
        <v>264947</v>
      </c>
      <c r="D5" s="20" t="n">
        <v>3594025</v>
      </c>
      <c r="E5" s="21" t="n">
        <v>184</v>
      </c>
      <c r="F5" s="20" t="n">
        <f aca="false">D5/E5</f>
        <v>19532.7445652174</v>
      </c>
      <c r="G5" s="22" t="n">
        <f aca="false">F5/C5</f>
        <v>0.0737232147003642</v>
      </c>
      <c r="H5" s="20" t="n">
        <v>1114850</v>
      </c>
      <c r="I5" s="23" t="n">
        <f aca="false">F5/H5</f>
        <v>0.0175205135804973</v>
      </c>
      <c r="J5" s="24" t="n">
        <f aca="false">C5/H5</f>
        <v>0.23765259900435</v>
      </c>
    </row>
    <row r="6" customFormat="false" ht="14.25" hidden="false" customHeight="false" outlineLevel="0" collapsed="false">
      <c r="B6" s="18" t="s">
        <v>23</v>
      </c>
      <c r="C6" s="20" t="n">
        <v>517814</v>
      </c>
      <c r="D6" s="20" t="n">
        <v>7090953</v>
      </c>
      <c r="E6" s="21" t="n">
        <v>204</v>
      </c>
      <c r="F6" s="20" t="n">
        <f aca="false">D6/E6</f>
        <v>34759.5735294118</v>
      </c>
      <c r="G6" s="22" t="n">
        <f aca="false">F6/C6</f>
        <v>0.0671275275087421</v>
      </c>
      <c r="H6" s="20" t="n">
        <v>2329571</v>
      </c>
      <c r="I6" s="23" t="n">
        <f aca="false">F6/H6</f>
        <v>0.0149210191616447</v>
      </c>
      <c r="J6" s="24" t="n">
        <f aca="false">C6/H6</f>
        <v>0.222278694231685</v>
      </c>
    </row>
    <row r="7" customFormat="false" ht="14.25" hidden="false" customHeight="false" outlineLevel="0" collapsed="false">
      <c r="B7" s="18" t="s">
        <v>24</v>
      </c>
      <c r="C7" s="20" t="n">
        <v>428057</v>
      </c>
      <c r="D7" s="20" t="n">
        <v>6373151</v>
      </c>
      <c r="E7" s="21" t="n">
        <v>215</v>
      </c>
      <c r="F7" s="20" t="n">
        <f aca="false">D7/E7</f>
        <v>29642.5627906977</v>
      </c>
      <c r="G7" s="22" t="n">
        <f aca="false">F7/C7</f>
        <v>0.0692491018502155</v>
      </c>
      <c r="H7" s="20" t="n">
        <v>1751127</v>
      </c>
      <c r="I7" s="23" t="n">
        <f aca="false">F7/H7</f>
        <v>0.0169277058663921</v>
      </c>
      <c r="J7" s="24" t="n">
        <f aca="false">C7/H7</f>
        <v>0.244446576404795</v>
      </c>
    </row>
    <row r="8" customFormat="false" ht="14.25" hidden="false" customHeight="false" outlineLevel="0" collapsed="false">
      <c r="B8" s="18" t="s">
        <v>25</v>
      </c>
      <c r="C8" s="20" t="n">
        <v>420763</v>
      </c>
      <c r="D8" s="20" t="n">
        <v>6573606</v>
      </c>
      <c r="E8" s="21" t="n">
        <v>230</v>
      </c>
      <c r="F8" s="20" t="n">
        <f aca="false">D8/E8</f>
        <v>28580.8956521739</v>
      </c>
      <c r="G8" s="22" t="n">
        <f aca="false">F8/C8</f>
        <v>0.0679263520133042</v>
      </c>
      <c r="H8" s="20" t="n">
        <v>2720075</v>
      </c>
      <c r="I8" s="23" t="n">
        <f aca="false">F8/H8</f>
        <v>0.0105073924991678</v>
      </c>
      <c r="J8" s="24" t="n">
        <f aca="false">C8/H8</f>
        <v>0.154688014117258</v>
      </c>
    </row>
    <row r="9" customFormat="false" ht="14.25" hidden="false" customHeight="false" outlineLevel="0" collapsed="false">
      <c r="B9" s="18" t="s">
        <v>26</v>
      </c>
      <c r="C9" s="20" t="n">
        <v>406760</v>
      </c>
      <c r="D9" s="20" t="n">
        <v>9315709</v>
      </c>
      <c r="E9" s="21" t="n">
        <v>244</v>
      </c>
      <c r="F9" s="20" t="n">
        <f aca="false">D9/E9</f>
        <v>38179.1352459016</v>
      </c>
      <c r="G9" s="22" t="n">
        <f aca="false">F9/C9</f>
        <v>0.0938615774557519</v>
      </c>
      <c r="H9" s="20" t="n">
        <v>1147140</v>
      </c>
      <c r="I9" s="23" t="n">
        <f aca="false">F9/H9</f>
        <v>0.0332820189740587</v>
      </c>
      <c r="J9" s="24" t="n">
        <f aca="false">C9/H9</f>
        <v>0.354586188259498</v>
      </c>
    </row>
    <row r="10" customFormat="false" ht="14.25" hidden="false" customHeight="false" outlineLevel="0" collapsed="false">
      <c r="B10" s="18" t="s">
        <v>27</v>
      </c>
      <c r="C10" s="20" t="n">
        <v>396362</v>
      </c>
      <c r="D10" s="20" t="n">
        <v>9353226</v>
      </c>
      <c r="E10" s="21" t="n">
        <v>257</v>
      </c>
      <c r="F10" s="20" t="n">
        <f aca="false">D10/E10</f>
        <v>36393.8754863813</v>
      </c>
      <c r="G10" s="22" t="n">
        <f aca="false">F10/C10</f>
        <v>0.0918197897033049</v>
      </c>
      <c r="H10" s="20" t="n">
        <v>2441754</v>
      </c>
      <c r="I10" s="23" t="n">
        <f aca="false">F10/H10</f>
        <v>0.0149048083821635</v>
      </c>
      <c r="J10" s="24" t="n">
        <f aca="false">C10/H10</f>
        <v>0.162326753636935</v>
      </c>
    </row>
    <row r="11" customFormat="false" ht="14.25" hidden="false" customHeight="false" outlineLevel="0" collapsed="false">
      <c r="B11" s="18" t="s">
        <v>28</v>
      </c>
      <c r="C11" s="20" t="n">
        <v>500485</v>
      </c>
      <c r="D11" s="20" t="n">
        <v>12304968</v>
      </c>
      <c r="E11" s="21" t="n">
        <v>286</v>
      </c>
      <c r="F11" s="20" t="n">
        <f aca="false">D11/E11</f>
        <v>43024.3636363636</v>
      </c>
      <c r="G11" s="22" t="n">
        <f aca="false">F11/C11</f>
        <v>0.085965340892062</v>
      </c>
      <c r="H11" s="20" t="n">
        <v>2751160</v>
      </c>
      <c r="I11" s="23" t="n">
        <f aca="false">F11/H11</f>
        <v>0.0156386264835065</v>
      </c>
      <c r="J11" s="24" t="n">
        <f aca="false">C11/H11</f>
        <v>0.181917809215022</v>
      </c>
    </row>
    <row r="12" customFormat="false" ht="14.25" hidden="false" customHeight="false" outlineLevel="0" collapsed="false">
      <c r="B12" s="18" t="s">
        <v>29</v>
      </c>
      <c r="C12" s="20" t="n">
        <v>479515</v>
      </c>
      <c r="D12" s="20" t="n">
        <v>14203388</v>
      </c>
      <c r="E12" s="21" t="n">
        <v>365</v>
      </c>
      <c r="F12" s="20" t="n">
        <f aca="false">D12/E12</f>
        <v>38913.3917808219</v>
      </c>
      <c r="G12" s="22" t="n">
        <f aca="false">F12/C12</f>
        <v>0.0811515631019299</v>
      </c>
      <c r="H12" s="20" t="n">
        <v>3263219</v>
      </c>
      <c r="I12" s="23" t="n">
        <f aca="false">F12/H12</f>
        <v>0.0119248483723654</v>
      </c>
      <c r="J12" s="24" t="n">
        <f aca="false">C12/H12</f>
        <v>0.146945393490293</v>
      </c>
    </row>
    <row r="13" customFormat="false" ht="14.25" hidden="false" customHeight="false" outlineLevel="0" collapsed="false">
      <c r="B13" s="18" t="s">
        <v>30</v>
      </c>
      <c r="C13" s="20" t="n">
        <v>430806</v>
      </c>
      <c r="D13" s="20" t="n">
        <v>14440337</v>
      </c>
      <c r="E13" s="21" t="n">
        <v>367.1</v>
      </c>
      <c r="F13" s="20" t="n">
        <f aca="false">D13/E13</f>
        <v>39336.24897848</v>
      </c>
      <c r="G13" s="22" t="n">
        <f aca="false">F13/C13</f>
        <v>0.0913084984389261</v>
      </c>
      <c r="H13" s="20" t="n">
        <v>2874751</v>
      </c>
      <c r="I13" s="23" t="n">
        <f aca="false">F13/H13</f>
        <v>0.0136833586555775</v>
      </c>
      <c r="J13" s="24" t="n">
        <f aca="false">C13/H13</f>
        <v>0.149858544270443</v>
      </c>
    </row>
    <row r="14" customFormat="false" ht="14.25" hidden="false" customHeight="false" outlineLevel="0" collapsed="false">
      <c r="B14" s="18" t="s">
        <v>31</v>
      </c>
      <c r="C14" s="20" t="n">
        <f aca="false">127055+162760+60770</f>
        <v>350585</v>
      </c>
      <c r="D14" s="20" t="n">
        <v>14101011</v>
      </c>
      <c r="E14" s="21" t="n">
        <v>365.5</v>
      </c>
      <c r="F14" s="20" t="n">
        <f aca="false">D14/E14</f>
        <v>38580.0574555404</v>
      </c>
      <c r="G14" s="22" t="n">
        <f aca="false">F14/C14</f>
        <v>0.110044803558453</v>
      </c>
      <c r="H14" s="20" t="n">
        <v>2692960</v>
      </c>
      <c r="I14" s="23" t="n">
        <f aca="false">F14/H14</f>
        <v>0.0143262645770975</v>
      </c>
      <c r="J14" s="24" t="n">
        <f aca="false">C14/H14</f>
        <v>0.130185743568415</v>
      </c>
    </row>
    <row r="15" customFormat="false" ht="14.25" hidden="false" customHeight="false" outlineLevel="0" collapsed="false">
      <c r="B15" s="18" t="s">
        <v>32</v>
      </c>
      <c r="C15" s="20" t="n">
        <f aca="false">103295+152185+54495</f>
        <v>309975</v>
      </c>
      <c r="D15" s="20" t="n">
        <v>13909727</v>
      </c>
      <c r="E15" s="21" t="n">
        <v>378.5</v>
      </c>
      <c r="F15" s="20" t="n">
        <f aca="false">D15/E15</f>
        <v>36749.608982827</v>
      </c>
      <c r="G15" s="22" t="n">
        <f aca="false">F15/C15</f>
        <v>0.118556686774182</v>
      </c>
      <c r="H15" s="20" t="n">
        <v>1379860</v>
      </c>
      <c r="I15" s="23" t="n">
        <f aca="false">F15/H15</f>
        <v>0.0266328533205013</v>
      </c>
      <c r="J15" s="24" t="n">
        <f aca="false">C15/H15</f>
        <v>0.224642355021524</v>
      </c>
    </row>
    <row r="16" customFormat="false" ht="14.25" hidden="false" customHeight="false" outlineLevel="0" collapsed="false">
      <c r="B16" s="18" t="s">
        <v>33</v>
      </c>
      <c r="C16" s="20" t="n">
        <v>109030</v>
      </c>
      <c r="D16" s="20" t="n">
        <v>10164235</v>
      </c>
      <c r="E16" s="21" t="n">
        <v>790</v>
      </c>
      <c r="F16" s="20" t="n">
        <f aca="false">D16/E16</f>
        <v>12866.1202531646</v>
      </c>
      <c r="G16" s="22" t="n">
        <f aca="false">F16/C16</f>
        <v>0.118005321958769</v>
      </c>
      <c r="H16" s="20" t="n">
        <v>1156484</v>
      </c>
      <c r="I16" s="23" t="n">
        <f aca="false">F16/H16</f>
        <v>0.0111252038533733</v>
      </c>
      <c r="J16" s="24" t="n">
        <f aca="false">C16/H16</f>
        <v>0.0942771365622006</v>
      </c>
    </row>
    <row r="18" customFormat="false" ht="14.25" hidden="false" customHeight="false" outlineLevel="0" collapsed="false">
      <c r="B18" s="25" t="s">
        <v>34</v>
      </c>
      <c r="C18" s="26" t="n">
        <f aca="false">SUM(C5:C14)</f>
        <v>4196094</v>
      </c>
      <c r="D18" s="26"/>
      <c r="E18" s="26"/>
      <c r="F18" s="26" t="n">
        <f aca="false">SUM(F5:F14)</f>
        <v>346942.84912099</v>
      </c>
      <c r="G18" s="26"/>
      <c r="H18" s="26" t="n">
        <f aca="false">SUM(H5:H16)</f>
        <v>25622951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(G5*F5+G6*F6+G7*F7+G8*F8+G9*F9+G10*F10+G11*F11+G12*F12+G13*F13+G14*F14)/F18</f>
        <v>0.084701111535064</v>
      </c>
      <c r="H19" s="16"/>
      <c r="I19" s="28" t="n">
        <f aca="false">(I5*H5+I6*H6+I7*H7+I8*H8+I9*H9+I10*H10+I11*H11+I12*H12+I13*H13+I14*H14)/H18</f>
        <v>0.013540315833293</v>
      </c>
      <c r="J19" s="28" t="n">
        <f aca="false">(J5*H5+J6*H6+J7*H7+J8*H8+J9*H9+J10*H10+J11*J11+J12*H12+J13*H13+J14*H14)/H18</f>
        <v>0.144230421901603</v>
      </c>
      <c r="P19" s="29"/>
    </row>
    <row r="20" customFormat="false" ht="14.25" hidden="false" customHeight="false" outlineLevel="0" collapsed="false">
      <c r="P20" s="29"/>
    </row>
    <row r="21" customFormat="false" ht="14.25" hidden="false" customHeight="false" outlineLevel="0" collapsed="false">
      <c r="B21" s="2" t="s">
        <v>13</v>
      </c>
      <c r="C21" s="16" t="n">
        <v>107552</v>
      </c>
      <c r="D21" s="2" t="s">
        <v>36</v>
      </c>
    </row>
    <row r="22" customFormat="false" ht="14.25" hidden="false" customHeight="false" outlineLevel="0" collapsed="false">
      <c r="B22" s="17"/>
      <c r="C22" s="18" t="s">
        <v>14</v>
      </c>
      <c r="D22" s="18" t="s">
        <v>15</v>
      </c>
      <c r="E22" s="18" t="s">
        <v>16</v>
      </c>
      <c r="F22" s="18" t="s">
        <v>17</v>
      </c>
      <c r="G22" s="18" t="s">
        <v>18</v>
      </c>
      <c r="H22" s="18" t="s">
        <v>37</v>
      </c>
      <c r="I22" s="18" t="s">
        <v>38</v>
      </c>
      <c r="J22" s="19" t="s">
        <v>39</v>
      </c>
    </row>
    <row r="23" customFormat="false" ht="14.25" hidden="false" customHeight="false" outlineLevel="0" collapsed="false">
      <c r="B23" s="18" t="s">
        <v>22</v>
      </c>
      <c r="C23" s="20"/>
      <c r="D23" s="20"/>
      <c r="E23" s="21"/>
      <c r="F23" s="30"/>
      <c r="G23" s="22"/>
      <c r="H23" s="20"/>
      <c r="I23" s="23"/>
      <c r="J23" s="24"/>
    </row>
    <row r="24" customFormat="false" ht="14.25" hidden="false" customHeight="false" outlineLevel="0" collapsed="false">
      <c r="B24" s="18" t="s">
        <v>23</v>
      </c>
      <c r="C24" s="20"/>
      <c r="D24" s="20"/>
      <c r="E24" s="21"/>
      <c r="F24" s="30"/>
      <c r="G24" s="22"/>
      <c r="H24" s="20"/>
      <c r="I24" s="23"/>
      <c r="J24" s="24"/>
    </row>
    <row r="25" customFormat="false" ht="14.25" hidden="false" customHeight="false" outlineLevel="0" collapsed="false">
      <c r="B25" s="18" t="s">
        <v>24</v>
      </c>
      <c r="C25" s="20"/>
      <c r="D25" s="20"/>
      <c r="E25" s="21"/>
      <c r="F25" s="30"/>
      <c r="G25" s="22"/>
      <c r="H25" s="20"/>
      <c r="I25" s="23"/>
      <c r="J25" s="24"/>
    </row>
    <row r="26" customFormat="false" ht="14.25" hidden="false" customHeight="false" outlineLevel="0" collapsed="false">
      <c r="B26" s="18" t="s">
        <v>25</v>
      </c>
      <c r="C26" s="20"/>
      <c r="D26" s="20"/>
      <c r="E26" s="21"/>
      <c r="F26" s="30"/>
      <c r="G26" s="22"/>
      <c r="H26" s="20"/>
      <c r="I26" s="23"/>
      <c r="J26" s="24"/>
    </row>
    <row r="27" customFormat="false" ht="14.25" hidden="false" customHeight="false" outlineLevel="0" collapsed="false">
      <c r="B27" s="18" t="s">
        <v>26</v>
      </c>
      <c r="C27" s="20"/>
      <c r="D27" s="20"/>
      <c r="E27" s="21"/>
      <c r="F27" s="30"/>
      <c r="G27" s="22"/>
      <c r="H27" s="20"/>
      <c r="I27" s="23"/>
      <c r="J27" s="24"/>
    </row>
    <row r="28" customFormat="false" ht="14.25" hidden="false" customHeight="false" outlineLevel="0" collapsed="false">
      <c r="B28" s="18" t="s">
        <v>27</v>
      </c>
      <c r="C28" s="20"/>
      <c r="D28" s="20"/>
      <c r="E28" s="21"/>
      <c r="F28" s="30"/>
      <c r="G28" s="22"/>
      <c r="H28" s="20"/>
      <c r="I28" s="23"/>
      <c r="J28" s="24"/>
    </row>
    <row r="29" customFormat="false" ht="14.25" hidden="false" customHeight="false" outlineLevel="0" collapsed="false">
      <c r="B29" s="18" t="s">
        <v>28</v>
      </c>
      <c r="C29" s="20"/>
      <c r="D29" s="20"/>
      <c r="E29" s="21"/>
      <c r="F29" s="30"/>
      <c r="G29" s="22"/>
      <c r="H29" s="20"/>
      <c r="I29" s="23"/>
      <c r="J29" s="24"/>
    </row>
    <row r="30" customFormat="false" ht="14.25" hidden="false" customHeight="false" outlineLevel="0" collapsed="false">
      <c r="B30" s="18" t="s">
        <v>29</v>
      </c>
      <c r="C30" s="20" t="n">
        <v>31200</v>
      </c>
      <c r="D30" s="20" t="n">
        <v>3617865</v>
      </c>
      <c r="E30" s="21" t="n">
        <v>365</v>
      </c>
      <c r="F30" s="20" t="n">
        <f aca="false">D30/E30</f>
        <v>9911.95890410959</v>
      </c>
      <c r="G30" s="22" t="n">
        <f aca="false">(F30+F31)/C30/2</f>
        <v>0.288092180993207</v>
      </c>
      <c r="H30" s="20" t="n">
        <v>0</v>
      </c>
      <c r="I30" s="23"/>
      <c r="J30" s="24"/>
    </row>
    <row r="31" customFormat="false" ht="14.25" hidden="false" customHeight="false" outlineLevel="0" collapsed="false">
      <c r="B31" s="18" t="s">
        <v>30</v>
      </c>
      <c r="C31" s="20"/>
      <c r="D31" s="20" t="n">
        <v>2960659</v>
      </c>
      <c r="E31" s="21" t="n">
        <v>367.1</v>
      </c>
      <c r="F31" s="20" t="n">
        <f aca="false">D31/E31</f>
        <v>8064.99318986652</v>
      </c>
      <c r="G31" s="22" t="n">
        <f aca="false">G30</f>
        <v>0.288092180993207</v>
      </c>
      <c r="H31" s="20" t="n">
        <v>937</v>
      </c>
      <c r="I31" s="23" t="n">
        <f aca="false">F31/H31</f>
        <v>8.6072499358234</v>
      </c>
      <c r="J31" s="24" t="n">
        <f aca="false">C30/H31</f>
        <v>33.2977588046958</v>
      </c>
    </row>
    <row r="32" customFormat="false" ht="14.25" hidden="false" customHeight="false" outlineLevel="0" collapsed="false">
      <c r="B32" s="18" t="s">
        <v>31</v>
      </c>
      <c r="C32" s="20" t="n">
        <v>3600</v>
      </c>
      <c r="D32" s="20" t="n">
        <v>3254758</v>
      </c>
      <c r="E32" s="21" t="n">
        <v>365.5</v>
      </c>
      <c r="F32" s="30" t="n">
        <f aca="false">D32/E32</f>
        <v>8904.94664842681</v>
      </c>
      <c r="G32" s="22" t="n">
        <f aca="false">F32/C32</f>
        <v>2.47359629122967</v>
      </c>
      <c r="H32" s="20" t="n">
        <v>1233</v>
      </c>
      <c r="I32" s="23" t="n">
        <f aca="false">F32/H32</f>
        <v>7.22217895249539</v>
      </c>
      <c r="J32" s="24" t="n">
        <f aca="false">C32/H32</f>
        <v>2.91970802919708</v>
      </c>
    </row>
    <row r="33" customFormat="false" ht="14.25" hidden="false" customHeight="false" outlineLevel="0" collapsed="false">
      <c r="B33" s="18" t="s">
        <v>32</v>
      </c>
      <c r="C33" s="20" t="n">
        <v>3600</v>
      </c>
      <c r="D33" s="20" t="n">
        <v>2960659</v>
      </c>
      <c r="E33" s="21" t="n">
        <v>365.5</v>
      </c>
      <c r="F33" s="30" t="n">
        <f aca="false">D33/E33</f>
        <v>8100.29822161423</v>
      </c>
      <c r="G33" s="22" t="n">
        <f aca="false">F33/C33</f>
        <v>2.25008283933729</v>
      </c>
      <c r="H33" s="20" t="n">
        <v>26717</v>
      </c>
      <c r="I33" s="23" t="n">
        <f aca="false">F33/H33</f>
        <v>0.303188914234915</v>
      </c>
      <c r="J33" s="17"/>
    </row>
    <row r="34" customFormat="false" ht="14.25" hidden="false" customHeight="false" outlineLevel="0" collapsed="false">
      <c r="B34" s="18" t="s">
        <v>33</v>
      </c>
      <c r="C34" s="20" t="n">
        <v>1</v>
      </c>
      <c r="D34" s="20" t="n">
        <v>2960658.9</v>
      </c>
      <c r="E34" s="21" t="n">
        <v>790</v>
      </c>
      <c r="F34" s="30" t="n">
        <f aca="false">D34/E34</f>
        <v>3747.66949367089</v>
      </c>
      <c r="G34" s="22" t="n">
        <f aca="false">F34/C34</f>
        <v>3747.66949367089</v>
      </c>
      <c r="H34" s="20" t="n">
        <v>0</v>
      </c>
      <c r="I34" s="23"/>
      <c r="J34" s="17"/>
    </row>
    <row r="36" customFormat="false" ht="14.25" hidden="false" customHeight="false" outlineLevel="0" collapsed="false">
      <c r="B36" s="25" t="s">
        <v>34</v>
      </c>
      <c r="C36" s="26" t="n">
        <f aca="false">SUM(C23:C32)</f>
        <v>34800</v>
      </c>
      <c r="D36" s="26"/>
      <c r="E36" s="26"/>
      <c r="F36" s="26" t="n">
        <f aca="false">SUM(F23:F32)</f>
        <v>26881.8987424029</v>
      </c>
      <c r="G36" s="26"/>
      <c r="H36" s="26" t="n">
        <f aca="false">SUM(H23:H34)</f>
        <v>28887</v>
      </c>
    </row>
    <row r="37" customFormat="false" ht="14.25" hidden="false" customHeight="false" outlineLevel="0" collapsed="false">
      <c r="B37" s="27" t="s">
        <v>40</v>
      </c>
      <c r="C37" s="10"/>
      <c r="D37" s="10"/>
      <c r="E37" s="10"/>
      <c r="F37" s="10"/>
      <c r="G37" s="31" t="n">
        <f aca="false">(G23*F23+G24*F24+G25*F25+G26*F26+G27*F27+G28*F28+G29*F29+G30*F30+G31*F31+G32*F32)/F36</f>
        <v>1.01206624577438</v>
      </c>
      <c r="H37" s="16"/>
      <c r="I37" s="31" t="n">
        <f aca="false">(I23*H23+I24*H24+I25*H25+I26*H26+I27*H27+I28*H28+I29*H29+I30*H30+I31*H31+I32*H32)/H36</f>
        <v>0.587459405209725</v>
      </c>
      <c r="J37" s="31" t="n">
        <f aca="false">(J23*H23+J24*H24+J25*H25+J26*H26+J27*H27+J28*H28+J29*J29+J30*H30+J31*H31+J32*H32)/H36</f>
        <v>1.20469415307924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14" t="s">
        <v>12</v>
      </c>
      <c r="C39" s="15"/>
    </row>
    <row r="40" customFormat="false" ht="14.25" hidden="false" customHeight="false" outlineLevel="0" collapsed="false">
      <c r="B40" s="34" t="s">
        <v>41</v>
      </c>
      <c r="C40" s="16"/>
    </row>
    <row r="41" customFormat="false" ht="14.25" hidden="false" customHeight="false" outlineLevel="0" collapsed="false">
      <c r="B41" s="35"/>
      <c r="C41" s="36" t="s">
        <v>14</v>
      </c>
      <c r="D41" s="36" t="s">
        <v>15</v>
      </c>
      <c r="E41" s="36" t="s">
        <v>16</v>
      </c>
      <c r="F41" s="36" t="s">
        <v>17</v>
      </c>
      <c r="G41" s="36" t="s">
        <v>18</v>
      </c>
      <c r="H41" s="36" t="s">
        <v>19</v>
      </c>
      <c r="I41" s="36" t="s">
        <v>20</v>
      </c>
      <c r="J41" s="36" t="s">
        <v>21</v>
      </c>
      <c r="N41" s="37"/>
    </row>
    <row r="42" customFormat="false" ht="14.25" hidden="false" customHeight="false" outlineLevel="0" collapsed="false">
      <c r="B42" s="38" t="s">
        <v>22</v>
      </c>
      <c r="C42" s="20" t="n">
        <v>264947</v>
      </c>
      <c r="D42" s="20" t="n">
        <v>3594025</v>
      </c>
      <c r="E42" s="21" t="n">
        <v>184</v>
      </c>
      <c r="F42" s="20" t="n">
        <f aca="false">D42/E42</f>
        <v>19532.7445652174</v>
      </c>
      <c r="G42" s="22" t="n">
        <f aca="false">F42/C42</f>
        <v>0.0737232147003642</v>
      </c>
      <c r="H42" s="20" t="n">
        <v>1114850</v>
      </c>
      <c r="I42" s="23" t="n">
        <f aca="false">F42/H42</f>
        <v>0.0175205135804973</v>
      </c>
      <c r="J42" s="24" t="n">
        <f aca="false">C42/H42</f>
        <v>0.23765259900435</v>
      </c>
      <c r="K42" s="39" t="s">
        <v>42</v>
      </c>
    </row>
    <row r="43" customFormat="false" ht="14.25" hidden="false" customHeight="false" outlineLevel="0" collapsed="false">
      <c r="B43" s="38" t="s">
        <v>23</v>
      </c>
      <c r="C43" s="20" t="n">
        <v>517814</v>
      </c>
      <c r="D43" s="20" t="n">
        <v>7090953</v>
      </c>
      <c r="E43" s="21" t="n">
        <v>204</v>
      </c>
      <c r="F43" s="20" t="n">
        <f aca="false">D43/E43</f>
        <v>34759.5735294118</v>
      </c>
      <c r="G43" s="22" t="n">
        <f aca="false">F43/C43</f>
        <v>0.0671275275087421</v>
      </c>
      <c r="H43" s="20" t="n">
        <v>2329571</v>
      </c>
      <c r="I43" s="23" t="n">
        <f aca="false">F43/H43</f>
        <v>0.0149210191616447</v>
      </c>
      <c r="J43" s="24" t="n">
        <f aca="false">C43/H43</f>
        <v>0.222278694231685</v>
      </c>
      <c r="K43" s="39" t="s">
        <v>42</v>
      </c>
    </row>
    <row r="44" customFormat="false" ht="14.25" hidden="false" customHeight="false" outlineLevel="0" collapsed="false">
      <c r="B44" s="38" t="s">
        <v>24</v>
      </c>
      <c r="C44" s="20" t="n">
        <v>428057</v>
      </c>
      <c r="D44" s="20" t="n">
        <v>6373151</v>
      </c>
      <c r="E44" s="21" t="n">
        <v>215</v>
      </c>
      <c r="F44" s="20" t="n">
        <f aca="false">D44/E44</f>
        <v>29642.5627906977</v>
      </c>
      <c r="G44" s="22" t="n">
        <f aca="false">F44/C44</f>
        <v>0.0692491018502155</v>
      </c>
      <c r="H44" s="20" t="n">
        <v>1751127</v>
      </c>
      <c r="I44" s="23" t="n">
        <f aca="false">F44/H44</f>
        <v>0.0169277058663921</v>
      </c>
      <c r="J44" s="24" t="n">
        <f aca="false">C44/H44</f>
        <v>0.244446576404795</v>
      </c>
      <c r="K44" s="39" t="s">
        <v>42</v>
      </c>
    </row>
    <row r="45" customFormat="false" ht="14.25" hidden="false" customHeight="false" outlineLevel="0" collapsed="false">
      <c r="B45" s="38" t="s">
        <v>25</v>
      </c>
      <c r="C45" s="20" t="n">
        <v>420763</v>
      </c>
      <c r="D45" s="20" t="n">
        <v>6573606</v>
      </c>
      <c r="E45" s="21" t="n">
        <v>230</v>
      </c>
      <c r="F45" s="20" t="n">
        <f aca="false">D45/E45</f>
        <v>28580.8956521739</v>
      </c>
      <c r="G45" s="22" t="n">
        <f aca="false">F45/C45</f>
        <v>0.0679263520133042</v>
      </c>
      <c r="H45" s="20" t="n">
        <v>2720075</v>
      </c>
      <c r="I45" s="23" t="n">
        <f aca="false">F45/H45</f>
        <v>0.0105073924991678</v>
      </c>
      <c r="J45" s="24" t="n">
        <f aca="false">C45/H45</f>
        <v>0.154688014117258</v>
      </c>
      <c r="K45" s="39" t="s">
        <v>42</v>
      </c>
    </row>
    <row r="46" customFormat="false" ht="14.25" hidden="false" customHeight="false" outlineLevel="0" collapsed="false">
      <c r="B46" s="38" t="s">
        <v>26</v>
      </c>
      <c r="C46" s="20" t="n">
        <v>406760</v>
      </c>
      <c r="D46" s="20" t="n">
        <v>9315709</v>
      </c>
      <c r="E46" s="21" t="n">
        <v>244</v>
      </c>
      <c r="F46" s="20" t="n">
        <f aca="false">D46/E46</f>
        <v>38179.1352459016</v>
      </c>
      <c r="G46" s="22" t="n">
        <f aca="false">F46/C46</f>
        <v>0.0938615774557519</v>
      </c>
      <c r="H46" s="20" t="n">
        <v>1147140</v>
      </c>
      <c r="I46" s="23" t="n">
        <f aca="false">F46/H46</f>
        <v>0.0332820189740587</v>
      </c>
      <c r="J46" s="24" t="n">
        <f aca="false">C46/H46</f>
        <v>0.354586188259498</v>
      </c>
      <c r="K46" s="39" t="s">
        <v>42</v>
      </c>
    </row>
    <row r="47" customFormat="false" ht="14.25" hidden="false" customHeight="false" outlineLevel="0" collapsed="false">
      <c r="B47" s="38" t="s">
        <v>27</v>
      </c>
      <c r="C47" s="20" t="n">
        <v>396362</v>
      </c>
      <c r="D47" s="20" t="n">
        <v>9353226</v>
      </c>
      <c r="E47" s="21" t="n">
        <v>257</v>
      </c>
      <c r="F47" s="20" t="n">
        <f aca="false">D47/E47</f>
        <v>36393.8754863813</v>
      </c>
      <c r="G47" s="22" t="n">
        <f aca="false">F47/C47</f>
        <v>0.0918197897033049</v>
      </c>
      <c r="H47" s="20" t="n">
        <v>2441754</v>
      </c>
      <c r="I47" s="23" t="n">
        <f aca="false">F47/H47</f>
        <v>0.0149048083821635</v>
      </c>
      <c r="J47" s="24" t="n">
        <f aca="false">C47/H47</f>
        <v>0.162326753636935</v>
      </c>
      <c r="K47" s="39" t="s">
        <v>42</v>
      </c>
    </row>
    <row r="48" customFormat="false" ht="14.25" hidden="false" customHeight="false" outlineLevel="0" collapsed="false">
      <c r="B48" s="38" t="s">
        <v>28</v>
      </c>
      <c r="C48" s="20" t="n">
        <v>500485</v>
      </c>
      <c r="D48" s="20" t="n">
        <v>12304968</v>
      </c>
      <c r="E48" s="21" t="n">
        <v>286</v>
      </c>
      <c r="F48" s="20" t="n">
        <f aca="false">D48/E48</f>
        <v>43024.3636363636</v>
      </c>
      <c r="G48" s="22" t="n">
        <f aca="false">F48/C48</f>
        <v>0.085965340892062</v>
      </c>
      <c r="H48" s="20" t="n">
        <v>2751160</v>
      </c>
      <c r="I48" s="23" t="n">
        <f aca="false">F48/H48</f>
        <v>0.0156386264835065</v>
      </c>
      <c r="J48" s="24" t="n">
        <f aca="false">C48/H48</f>
        <v>0.181917809215022</v>
      </c>
      <c r="K48" s="39" t="s">
        <v>42</v>
      </c>
    </row>
    <row r="49" customFormat="false" ht="14.25" hidden="false" customHeight="false" outlineLevel="0" collapsed="false">
      <c r="B49" s="38" t="s">
        <v>29</v>
      </c>
      <c r="C49" s="20" t="n">
        <f aca="false">479515+C30/2</f>
        <v>495115</v>
      </c>
      <c r="D49" s="20" t="n">
        <f aca="false">+D12+D30</f>
        <v>17821253</v>
      </c>
      <c r="E49" s="21" t="n">
        <v>365</v>
      </c>
      <c r="F49" s="20" t="n">
        <f aca="false">D49/E49</f>
        <v>48825.3506849315</v>
      </c>
      <c r="G49" s="22" t="n">
        <f aca="false">(F49)/C49</f>
        <v>0.0986141617299648</v>
      </c>
      <c r="H49" s="20" t="n">
        <v>3263219</v>
      </c>
      <c r="I49" s="23" t="n">
        <f aca="false">F49/H49</f>
        <v>0.0149623272863181</v>
      </c>
      <c r="J49" s="24" t="n">
        <f aca="false">C49/H49</f>
        <v>0.151725949131824</v>
      </c>
      <c r="K49" s="39" t="s">
        <v>43</v>
      </c>
    </row>
    <row r="50" customFormat="false" ht="14.25" hidden="false" customHeight="false" outlineLevel="0" collapsed="false">
      <c r="B50" s="38" t="s">
        <v>30</v>
      </c>
      <c r="C50" s="20" t="n">
        <f aca="false">430806+C30/2</f>
        <v>446406</v>
      </c>
      <c r="D50" s="20" t="n">
        <f aca="false">+D13+D31</f>
        <v>17400996</v>
      </c>
      <c r="E50" s="21" t="n">
        <v>367.1</v>
      </c>
      <c r="F50" s="20" t="n">
        <f aca="false">D50/E50</f>
        <v>47401.2421683465</v>
      </c>
      <c r="G50" s="22" t="n">
        <f aca="false">(F50)/C50</f>
        <v>0.106184151127777</v>
      </c>
      <c r="H50" s="20" t="n">
        <v>2874751</v>
      </c>
      <c r="I50" s="23" t="n">
        <f aca="false">F50/H50</f>
        <v>0.0164888166551978</v>
      </c>
      <c r="J50" s="24" t="n">
        <f aca="false">C50/H50</f>
        <v>0.155285101213983</v>
      </c>
      <c r="K50" s="39" t="s">
        <v>43</v>
      </c>
    </row>
    <row r="51" customFormat="false" ht="14.25" hidden="false" customHeight="false" outlineLevel="0" collapsed="false">
      <c r="B51" s="38" t="s">
        <v>31</v>
      </c>
      <c r="C51" s="20" t="n">
        <f aca="false">C14+C32</f>
        <v>354185</v>
      </c>
      <c r="D51" s="20" t="n">
        <f aca="false">+D14+D32</f>
        <v>17355769</v>
      </c>
      <c r="E51" s="21" t="n">
        <v>365.5</v>
      </c>
      <c r="F51" s="20" t="n">
        <f aca="false">D51/E51</f>
        <v>47485.0041039672</v>
      </c>
      <c r="G51" s="22" t="n">
        <f aca="false">F51/C51</f>
        <v>0.134068365695801</v>
      </c>
      <c r="H51" s="20" t="n">
        <f aca="false">H14+H32</f>
        <v>2694193</v>
      </c>
      <c r="I51" s="23" t="n">
        <f aca="false">F51/H51</f>
        <v>0.0176249452448162</v>
      </c>
      <c r="J51" s="24" t="n">
        <f aca="false">C51/H51</f>
        <v>0.131462371107044</v>
      </c>
      <c r="K51" s="39" t="s">
        <v>43</v>
      </c>
    </row>
    <row r="52" customFormat="false" ht="14.25" hidden="false" customHeight="false" outlineLevel="0" collapsed="false">
      <c r="B52" s="38" t="s">
        <v>32</v>
      </c>
      <c r="C52" s="20" t="n">
        <f aca="false">C15+C33</f>
        <v>313575</v>
      </c>
      <c r="D52" s="20" t="n">
        <f aca="false">+D15+D33</f>
        <v>16870386</v>
      </c>
      <c r="E52" s="21" t="n">
        <v>365.5</v>
      </c>
      <c r="F52" s="20" t="n">
        <f aca="false">D52/E52</f>
        <v>46157.0068399453</v>
      </c>
      <c r="G52" s="22" t="n">
        <f aca="false">F52/C52</f>
        <v>0.147196067415914</v>
      </c>
      <c r="H52" s="20" t="n">
        <f aca="false">H15+H33</f>
        <v>1406577</v>
      </c>
      <c r="I52" s="23" t="n">
        <f aca="false">F52/H52</f>
        <v>0.0328151298079986</v>
      </c>
      <c r="J52" s="24" t="n">
        <f aca="false">C52/H52</f>
        <v>0.222934826888254</v>
      </c>
      <c r="K52" s="39" t="s">
        <v>43</v>
      </c>
    </row>
    <row r="53" customFormat="false" ht="14.25" hidden="false" customHeight="false" outlineLevel="0" collapsed="false">
      <c r="B53" s="38" t="s">
        <v>33</v>
      </c>
      <c r="C53" s="20" t="n">
        <v>199030</v>
      </c>
      <c r="D53" s="20" t="n">
        <f aca="false">10164264.5+2960659</f>
        <v>13124923.5</v>
      </c>
      <c r="E53" s="21" t="n">
        <v>790</v>
      </c>
      <c r="F53" s="20" t="n">
        <f aca="false">D53/E53</f>
        <v>16613.8272151899</v>
      </c>
      <c r="G53" s="22" t="n">
        <f aca="false">F53/C53</f>
        <v>0.0834739849027276</v>
      </c>
      <c r="H53" s="20" t="n">
        <v>1156484</v>
      </c>
      <c r="I53" s="23" t="n">
        <f aca="false">F53/H53</f>
        <v>0.014365808100406</v>
      </c>
      <c r="J53" s="24" t="n">
        <f aca="false">C53/H53</f>
        <v>0.172099224892</v>
      </c>
      <c r="K53" s="39" t="s">
        <v>43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4743499</v>
      </c>
      <c r="D55" s="26"/>
      <c r="E55" s="26"/>
      <c r="F55" s="26" t="n">
        <f aca="false">SUM(F42:F53)</f>
        <v>436595.581918528</v>
      </c>
      <c r="G55" s="26"/>
      <c r="H55" s="26" t="n">
        <f aca="false">SUM(H42:H53)</f>
        <v>25650901</v>
      </c>
    </row>
    <row r="56" customFormat="false" ht="14.25" hidden="false" customHeight="false" outlineLevel="0" collapsed="false">
      <c r="B56" s="40" t="s">
        <v>35</v>
      </c>
      <c r="C56" s="41"/>
      <c r="D56" s="41"/>
      <c r="E56" s="41"/>
      <c r="F56" s="42" t="n">
        <f aca="false">AVERAGE(F42:F53)</f>
        <v>36382.9651598773</v>
      </c>
      <c r="G56" s="43" t="n">
        <f aca="false">(G42*F42+G43*F43+G44*F44+G45*F45+G46*F46+G47*F47+G48*F48+G49*F49+G50*F50+G51*F51+G52*F52+G53*F53)/F55</f>
        <v>0.09800056695399</v>
      </c>
      <c r="H56" s="44"/>
      <c r="I56" s="43" t="n">
        <f aca="false">(I42*H42+I43*H43+I44*H44+I45*H45+I46*H46+I47*H47+I48*H48+I49*H49+I50*H50+H51*I51+H52*I52+H53*I53)/H55</f>
        <v>0.0170206723700866</v>
      </c>
      <c r="J56" s="43" t="n">
        <f aca="false">(J42*H42+J43*H43+J44*H44+J45*H45+J46*H46+J47*H47+J48*J48+J49*H49+J50*H50+J51*H51+J52*H52+J53*H53)/H55</f>
        <v>0.165413839969757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1" activeCellId="0" sqref="B51"/>
    </sheetView>
  </sheetViews>
  <sheetFormatPr defaultColWidth="10.59765625" defaultRowHeight="14.25" zeroHeight="false" outlineLevelRow="0" outlineLevelCol="0"/>
  <cols>
    <col collapsed="false" customWidth="true" hidden="false" outlineLevel="0" max="11" min="11" style="0" width="3.55"/>
  </cols>
  <sheetData>
    <row r="1" customFormat="false" ht="17.35" hidden="false" customHeight="false" outlineLevel="0" collapsed="false">
      <c r="B1" s="45" t="n">
        <v>2023</v>
      </c>
    </row>
    <row r="2" customFormat="false" ht="17.35" hidden="false" customHeight="false" outlineLevel="0" collapsed="false">
      <c r="B2" s="45" t="s">
        <v>44</v>
      </c>
      <c r="L2" s="45" t="s">
        <v>45</v>
      </c>
    </row>
    <row r="3" customFormat="false" ht="14.25" hidden="false" customHeight="false" outlineLevel="0" collapsed="false">
      <c r="B3" s="0" t="s">
        <v>46</v>
      </c>
      <c r="L3" s="0" t="s">
        <v>46</v>
      </c>
    </row>
    <row r="4" customFormat="false" ht="14.25" hidden="false" customHeight="false" outlineLevel="0" collapsed="false">
      <c r="C4" s="16" t="s">
        <v>14</v>
      </c>
      <c r="M4" s="16" t="s">
        <v>47</v>
      </c>
    </row>
    <row r="5" customFormat="false" ht="14.25" hidden="false" customHeight="false" outlineLevel="0" collapsed="false">
      <c r="B5" s="16" t="s">
        <v>22</v>
      </c>
      <c r="C5" s="46" t="n">
        <f aca="false">datos23!C5</f>
        <v>264947</v>
      </c>
      <c r="L5" s="16" t="s">
        <v>22</v>
      </c>
      <c r="M5" s="47" t="n">
        <f aca="false">datos23!J42</f>
        <v>0.23765259900435</v>
      </c>
    </row>
    <row r="6" customFormat="false" ht="14.25" hidden="false" customHeight="false" outlineLevel="0" collapsed="false">
      <c r="B6" s="16" t="s">
        <v>23</v>
      </c>
      <c r="C6" s="46" t="n">
        <f aca="false">datos23!C6</f>
        <v>517814</v>
      </c>
      <c r="L6" s="16" t="s">
        <v>23</v>
      </c>
      <c r="M6" s="47" t="n">
        <f aca="false">datos23!J43</f>
        <v>0.222278694231685</v>
      </c>
    </row>
    <row r="7" customFormat="false" ht="14.25" hidden="false" customHeight="false" outlineLevel="0" collapsed="false">
      <c r="B7" s="16" t="s">
        <v>24</v>
      </c>
      <c r="C7" s="46" t="n">
        <f aca="false">datos23!C7</f>
        <v>428057</v>
      </c>
      <c r="L7" s="16" t="s">
        <v>24</v>
      </c>
      <c r="M7" s="47" t="n">
        <f aca="false">datos23!J44</f>
        <v>0.244446576404795</v>
      </c>
    </row>
    <row r="8" customFormat="false" ht="14.25" hidden="false" customHeight="false" outlineLevel="0" collapsed="false">
      <c r="B8" s="16" t="s">
        <v>25</v>
      </c>
      <c r="C8" s="46" t="n">
        <f aca="false">datos23!C8</f>
        <v>420763</v>
      </c>
      <c r="L8" s="16" t="s">
        <v>25</v>
      </c>
      <c r="M8" s="47" t="n">
        <f aca="false">datos23!J45</f>
        <v>0.154688014117258</v>
      </c>
    </row>
    <row r="9" customFormat="false" ht="14.25" hidden="false" customHeight="false" outlineLevel="0" collapsed="false">
      <c r="B9" s="16" t="s">
        <v>26</v>
      </c>
      <c r="C9" s="46" t="n">
        <f aca="false">datos23!C9</f>
        <v>406760</v>
      </c>
      <c r="L9" s="16" t="s">
        <v>26</v>
      </c>
      <c r="M9" s="47" t="n">
        <f aca="false">datos23!J46</f>
        <v>0.354586188259498</v>
      </c>
    </row>
    <row r="10" customFormat="false" ht="14.25" hidden="false" customHeight="false" outlineLevel="0" collapsed="false">
      <c r="B10" s="16" t="s">
        <v>27</v>
      </c>
      <c r="C10" s="46" t="n">
        <f aca="false">datos23!C10</f>
        <v>396362</v>
      </c>
      <c r="L10" s="16" t="s">
        <v>27</v>
      </c>
      <c r="M10" s="47" t="n">
        <f aca="false">datos23!J47</f>
        <v>0.162326753636935</v>
      </c>
    </row>
    <row r="11" customFormat="false" ht="14.25" hidden="false" customHeight="false" outlineLevel="0" collapsed="false">
      <c r="B11" s="16" t="s">
        <v>28</v>
      </c>
      <c r="C11" s="46" t="n">
        <f aca="false">datos23!C11</f>
        <v>500485</v>
      </c>
      <c r="L11" s="16" t="s">
        <v>28</v>
      </c>
      <c r="M11" s="47" t="n">
        <f aca="false">datos23!J48</f>
        <v>0.181917809215022</v>
      </c>
    </row>
    <row r="12" customFormat="false" ht="14.25" hidden="false" customHeight="false" outlineLevel="0" collapsed="false">
      <c r="B12" s="16" t="s">
        <v>29</v>
      </c>
      <c r="C12" s="46" t="n">
        <f aca="false">datos23!C12</f>
        <v>479515</v>
      </c>
      <c r="L12" s="16" t="s">
        <v>29</v>
      </c>
      <c r="M12" s="47" t="n">
        <f aca="false">datos23!J49</f>
        <v>0.151725949131824</v>
      </c>
    </row>
    <row r="13" customFormat="false" ht="14.25" hidden="false" customHeight="false" outlineLevel="0" collapsed="false">
      <c r="B13" s="16" t="s">
        <v>30</v>
      </c>
      <c r="C13" s="46" t="n">
        <f aca="false">datos23!C13</f>
        <v>430806</v>
      </c>
      <c r="L13" s="16" t="s">
        <v>30</v>
      </c>
      <c r="M13" s="47" t="n">
        <f aca="false">datos23!J50</f>
        <v>0.155285101213983</v>
      </c>
    </row>
    <row r="14" customFormat="false" ht="14.25" hidden="false" customHeight="false" outlineLevel="0" collapsed="false">
      <c r="B14" s="16" t="s">
        <v>31</v>
      </c>
      <c r="C14" s="46" t="n">
        <f aca="false">datos23!C14</f>
        <v>350585</v>
      </c>
      <c r="L14" s="16" t="s">
        <v>31</v>
      </c>
      <c r="M14" s="47" t="n">
        <f aca="false">datos23!J51</f>
        <v>0.131462371107044</v>
      </c>
    </row>
    <row r="15" customFormat="false" ht="14.25" hidden="false" customHeight="false" outlineLevel="0" collapsed="false">
      <c r="B15" s="16" t="s">
        <v>32</v>
      </c>
      <c r="C15" s="46" t="n">
        <f aca="false">datos23!C15</f>
        <v>309975</v>
      </c>
      <c r="L15" s="16" t="s">
        <v>32</v>
      </c>
      <c r="M15" s="47" t="n">
        <f aca="false">datos23!J52</f>
        <v>0.222934826888254</v>
      </c>
    </row>
    <row r="16" customFormat="false" ht="14.25" hidden="false" customHeight="false" outlineLevel="0" collapsed="false">
      <c r="B16" s="16" t="s">
        <v>33</v>
      </c>
      <c r="C16" s="46" t="n">
        <f aca="false">datos23!C16</f>
        <v>109030</v>
      </c>
      <c r="L16" s="16" t="s">
        <v>33</v>
      </c>
      <c r="M16" s="47" t="n">
        <f aca="false">datos23!J53</f>
        <v>0.172099224892</v>
      </c>
    </row>
    <row r="17" customFormat="false" ht="14.25" hidden="false" customHeight="false" outlineLevel="0" collapsed="false">
      <c r="B17" s="48" t="s">
        <v>40</v>
      </c>
      <c r="C17" s="49" t="n">
        <f aca="false">AVERAGE(C5:C16)</f>
        <v>384591.583333333</v>
      </c>
      <c r="L17" s="48" t="s">
        <v>40</v>
      </c>
      <c r="M17" s="50" t="n">
        <f aca="false">AVERAGE(M5:M16)</f>
        <v>0.199283675675221</v>
      </c>
    </row>
    <row r="19" customFormat="false" ht="17.35" hidden="false" customHeight="false" outlineLevel="0" collapsed="false">
      <c r="B19" s="45" t="s">
        <v>48</v>
      </c>
      <c r="L19" s="51" t="s">
        <v>49</v>
      </c>
      <c r="M19" s="51"/>
    </row>
    <row r="20" customFormat="false" ht="14.25" hidden="false" customHeight="false" outlineLevel="0" collapsed="false">
      <c r="C20" s="16" t="s">
        <v>18</v>
      </c>
      <c r="M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datos23!G5</f>
        <v>0.0737232147003642</v>
      </c>
      <c r="L21" s="16" t="s">
        <v>22</v>
      </c>
      <c r="M21" s="53" t="n">
        <f aca="false">datos23!G42</f>
        <v>0.0737232147003642</v>
      </c>
    </row>
    <row r="22" customFormat="false" ht="14.25" hidden="false" customHeight="false" outlineLevel="0" collapsed="false">
      <c r="B22" s="16" t="s">
        <v>23</v>
      </c>
      <c r="C22" s="52" t="n">
        <f aca="false">datos23!G6</f>
        <v>0.0671275275087421</v>
      </c>
      <c r="L22" s="16" t="s">
        <v>23</v>
      </c>
      <c r="M22" s="53" t="n">
        <f aca="false">datos23!G43</f>
        <v>0.0671275275087421</v>
      </c>
    </row>
    <row r="23" customFormat="false" ht="14.25" hidden="false" customHeight="false" outlineLevel="0" collapsed="false">
      <c r="B23" s="16" t="s">
        <v>24</v>
      </c>
      <c r="C23" s="52" t="n">
        <f aca="false">datos23!G7</f>
        <v>0.0692491018502155</v>
      </c>
      <c r="L23" s="16" t="s">
        <v>24</v>
      </c>
      <c r="M23" s="53" t="n">
        <f aca="false">datos23!G44</f>
        <v>0.0692491018502155</v>
      </c>
    </row>
    <row r="24" customFormat="false" ht="14.25" hidden="false" customHeight="false" outlineLevel="0" collapsed="false">
      <c r="B24" s="16" t="s">
        <v>25</v>
      </c>
      <c r="C24" s="52" t="n">
        <f aca="false">datos23!G8</f>
        <v>0.0679263520133042</v>
      </c>
      <c r="L24" s="16" t="s">
        <v>25</v>
      </c>
      <c r="M24" s="53" t="n">
        <f aca="false">datos23!G45</f>
        <v>0.0679263520133042</v>
      </c>
    </row>
    <row r="25" customFormat="false" ht="14.25" hidden="false" customHeight="false" outlineLevel="0" collapsed="false">
      <c r="B25" s="16" t="s">
        <v>26</v>
      </c>
      <c r="C25" s="52" t="n">
        <f aca="false">datos23!G9</f>
        <v>0.0938615774557519</v>
      </c>
      <c r="L25" s="16" t="s">
        <v>26</v>
      </c>
      <c r="M25" s="53" t="n">
        <f aca="false">datos23!G46</f>
        <v>0.0938615774557519</v>
      </c>
    </row>
    <row r="26" customFormat="false" ht="14.25" hidden="false" customHeight="false" outlineLevel="0" collapsed="false">
      <c r="B26" s="16" t="s">
        <v>27</v>
      </c>
      <c r="C26" s="52" t="n">
        <f aca="false">datos23!G10</f>
        <v>0.0918197897033049</v>
      </c>
      <c r="L26" s="16" t="s">
        <v>27</v>
      </c>
      <c r="M26" s="53" t="n">
        <f aca="false">datos23!G47</f>
        <v>0.0918197897033049</v>
      </c>
    </row>
    <row r="27" customFormat="false" ht="14.25" hidden="false" customHeight="false" outlineLevel="0" collapsed="false">
      <c r="B27" s="16" t="s">
        <v>28</v>
      </c>
      <c r="C27" s="52" t="n">
        <f aca="false">datos23!G11</f>
        <v>0.085965340892062</v>
      </c>
      <c r="L27" s="16" t="s">
        <v>28</v>
      </c>
      <c r="M27" s="53" t="n">
        <f aca="false">datos23!G48</f>
        <v>0.085965340892062</v>
      </c>
    </row>
    <row r="28" customFormat="false" ht="14.25" hidden="false" customHeight="false" outlineLevel="0" collapsed="false">
      <c r="B28" s="16" t="s">
        <v>29</v>
      </c>
      <c r="C28" s="52" t="n">
        <f aca="false">datos23!G12</f>
        <v>0.0811515631019299</v>
      </c>
      <c r="L28" s="16" t="s">
        <v>29</v>
      </c>
      <c r="M28" s="53" t="n">
        <f aca="false">datos23!G49</f>
        <v>0.0986141617299648</v>
      </c>
    </row>
    <row r="29" customFormat="false" ht="14.25" hidden="false" customHeight="false" outlineLevel="0" collapsed="false">
      <c r="B29" s="16" t="s">
        <v>30</v>
      </c>
      <c r="C29" s="52" t="n">
        <f aca="false">datos23!G13</f>
        <v>0.0913084984389261</v>
      </c>
      <c r="L29" s="16" t="s">
        <v>30</v>
      </c>
      <c r="M29" s="53" t="n">
        <f aca="false">datos23!G50</f>
        <v>0.106184151127777</v>
      </c>
    </row>
    <row r="30" customFormat="false" ht="14.25" hidden="false" customHeight="false" outlineLevel="0" collapsed="false">
      <c r="B30" s="16" t="s">
        <v>31</v>
      </c>
      <c r="C30" s="52" t="n">
        <f aca="false">datos23!G14</f>
        <v>0.110044803558453</v>
      </c>
      <c r="L30" s="16" t="s">
        <v>31</v>
      </c>
      <c r="M30" s="53" t="n">
        <f aca="false">datos23!G51</f>
        <v>0.134068365695801</v>
      </c>
    </row>
    <row r="31" customFormat="false" ht="14.25" hidden="false" customHeight="false" outlineLevel="0" collapsed="false">
      <c r="B31" s="16" t="s">
        <v>32</v>
      </c>
      <c r="C31" s="52" t="n">
        <f aca="false">datos23!G15</f>
        <v>0.118556686774182</v>
      </c>
      <c r="L31" s="16" t="s">
        <v>32</v>
      </c>
      <c r="M31" s="53" t="n">
        <f aca="false">datos23!G52</f>
        <v>0.147196067415914</v>
      </c>
    </row>
    <row r="32" customFormat="false" ht="14.25" hidden="false" customHeight="false" outlineLevel="0" collapsed="false">
      <c r="B32" s="16" t="s">
        <v>33</v>
      </c>
      <c r="C32" s="52" t="n">
        <f aca="false">datos23!G16</f>
        <v>0.118005321958769</v>
      </c>
      <c r="L32" s="16" t="s">
        <v>33</v>
      </c>
      <c r="M32" s="53" t="n">
        <f aca="false">datos23!G53</f>
        <v>0.0834739849027276</v>
      </c>
    </row>
    <row r="33" customFormat="false" ht="14.25" hidden="false" customHeight="false" outlineLevel="0" collapsed="false">
      <c r="B33" s="54" t="s">
        <v>50</v>
      </c>
      <c r="C33" s="55" t="n">
        <f aca="false">datos23!G19</f>
        <v>0.084701111535064</v>
      </c>
      <c r="L33" s="56" t="s">
        <v>51</v>
      </c>
      <c r="M33" s="55" t="n">
        <f aca="false">datos23!G56</f>
        <v>0.09800056695399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45" t="s">
        <v>52</v>
      </c>
      <c r="L35" s="45"/>
    </row>
    <row r="36" customFormat="false" ht="14.25" hidden="false" customHeight="false" outlineLevel="0" collapsed="false">
      <c r="C36" s="16" t="s">
        <v>20</v>
      </c>
      <c r="M36" s="16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datos23!I5</f>
        <v>0.0175205135804973</v>
      </c>
      <c r="L37" s="16" t="s">
        <v>22</v>
      </c>
      <c r="M37" s="52" t="n">
        <f aca="false">datos23!I42</f>
        <v>0.0175205135804973</v>
      </c>
    </row>
    <row r="38" customFormat="false" ht="14.25" hidden="false" customHeight="false" outlineLevel="0" collapsed="false">
      <c r="B38" s="16" t="s">
        <v>23</v>
      </c>
      <c r="C38" s="52" t="n">
        <f aca="false">datos23!I6</f>
        <v>0.0149210191616447</v>
      </c>
      <c r="L38" s="16" t="s">
        <v>23</v>
      </c>
      <c r="M38" s="52" t="n">
        <f aca="false">datos23!I43</f>
        <v>0.0149210191616447</v>
      </c>
    </row>
    <row r="39" customFormat="false" ht="14.25" hidden="false" customHeight="false" outlineLevel="0" collapsed="false">
      <c r="B39" s="16" t="s">
        <v>24</v>
      </c>
      <c r="C39" s="52" t="n">
        <f aca="false">datos23!I7</f>
        <v>0.0169277058663921</v>
      </c>
      <c r="L39" s="16" t="s">
        <v>24</v>
      </c>
      <c r="M39" s="52" t="n">
        <f aca="false">datos23!I44</f>
        <v>0.0169277058663921</v>
      </c>
    </row>
    <row r="40" customFormat="false" ht="14.25" hidden="false" customHeight="false" outlineLevel="0" collapsed="false">
      <c r="B40" s="16" t="s">
        <v>25</v>
      </c>
      <c r="C40" s="52" t="n">
        <f aca="false">datos23!I8</f>
        <v>0.0105073924991678</v>
      </c>
      <c r="L40" s="16" t="s">
        <v>25</v>
      </c>
      <c r="M40" s="52" t="n">
        <f aca="false">datos23!I45</f>
        <v>0.0105073924991678</v>
      </c>
    </row>
    <row r="41" customFormat="false" ht="14.25" hidden="false" customHeight="false" outlineLevel="0" collapsed="false">
      <c r="B41" s="16" t="s">
        <v>26</v>
      </c>
      <c r="C41" s="52" t="n">
        <f aca="false">datos23!I9</f>
        <v>0.0332820189740587</v>
      </c>
      <c r="L41" s="16" t="s">
        <v>26</v>
      </c>
      <c r="M41" s="52" t="n">
        <f aca="false">datos23!I46</f>
        <v>0.0332820189740587</v>
      </c>
    </row>
    <row r="42" customFormat="false" ht="14.25" hidden="false" customHeight="false" outlineLevel="0" collapsed="false">
      <c r="B42" s="16" t="s">
        <v>27</v>
      </c>
      <c r="C42" s="52" t="n">
        <f aca="false">datos23!I10</f>
        <v>0.0149048083821635</v>
      </c>
      <c r="L42" s="16" t="s">
        <v>27</v>
      </c>
      <c r="M42" s="52" t="n">
        <f aca="false">datos23!I47</f>
        <v>0.0149048083821635</v>
      </c>
    </row>
    <row r="43" customFormat="false" ht="14.25" hidden="false" customHeight="false" outlineLevel="0" collapsed="false">
      <c r="B43" s="16" t="s">
        <v>28</v>
      </c>
      <c r="C43" s="52" t="n">
        <f aca="false">datos23!I11</f>
        <v>0.0156386264835065</v>
      </c>
      <c r="L43" s="16" t="s">
        <v>28</v>
      </c>
      <c r="M43" s="52" t="n">
        <f aca="false">datos23!I48</f>
        <v>0.0156386264835065</v>
      </c>
    </row>
    <row r="44" customFormat="false" ht="14.25" hidden="false" customHeight="false" outlineLevel="0" collapsed="false">
      <c r="B44" s="16" t="s">
        <v>29</v>
      </c>
      <c r="C44" s="52" t="n">
        <f aca="false">datos23!I12+datos23!I30</f>
        <v>0.0119248483723654</v>
      </c>
      <c r="L44" s="16" t="s">
        <v>29</v>
      </c>
      <c r="M44" s="53" t="n">
        <f aca="false">datos23!I49</f>
        <v>0.0149623272863181</v>
      </c>
    </row>
    <row r="45" customFormat="false" ht="14.25" hidden="false" customHeight="false" outlineLevel="0" collapsed="false">
      <c r="B45" s="16" t="s">
        <v>30</v>
      </c>
      <c r="C45" s="52" t="n">
        <f aca="false">datos23!I13</f>
        <v>0.0136833586555775</v>
      </c>
      <c r="L45" s="16" t="s">
        <v>30</v>
      </c>
      <c r="M45" s="53" t="n">
        <f aca="false">datos23!I50</f>
        <v>0.0164888166551978</v>
      </c>
    </row>
    <row r="46" customFormat="false" ht="14.25" hidden="false" customHeight="false" outlineLevel="0" collapsed="false">
      <c r="B46" s="16" t="s">
        <v>31</v>
      </c>
      <c r="C46" s="52" t="n">
        <f aca="false">datos23!I14</f>
        <v>0.0143262645770975</v>
      </c>
      <c r="L46" s="16" t="s">
        <v>31</v>
      </c>
      <c r="M46" s="53" t="n">
        <f aca="false">datos23!I51</f>
        <v>0.0176249452448162</v>
      </c>
    </row>
    <row r="47" customFormat="false" ht="14.25" hidden="false" customHeight="false" outlineLevel="0" collapsed="false">
      <c r="B47" s="16" t="s">
        <v>32</v>
      </c>
      <c r="C47" s="52" t="n">
        <f aca="false">datos23!I15</f>
        <v>0.0266328533205013</v>
      </c>
      <c r="L47" s="16" t="s">
        <v>32</v>
      </c>
      <c r="M47" s="53" t="n">
        <f aca="false">datos23!I52</f>
        <v>0.0328151298079986</v>
      </c>
    </row>
    <row r="48" customFormat="false" ht="14.25" hidden="false" customHeight="false" outlineLevel="0" collapsed="false">
      <c r="B48" s="16" t="s">
        <v>33</v>
      </c>
      <c r="C48" s="52" t="n">
        <f aca="false">datos23!I16</f>
        <v>0.0111252038533733</v>
      </c>
      <c r="L48" s="16" t="s">
        <v>33</v>
      </c>
      <c r="M48" s="53" t="n">
        <f aca="false">datos23!I53</f>
        <v>0.014365808100406</v>
      </c>
    </row>
    <row r="49" customFormat="false" ht="14.25" hidden="false" customHeight="false" outlineLevel="0" collapsed="false">
      <c r="B49" s="16"/>
      <c r="C49" s="52"/>
    </row>
    <row r="50" customFormat="false" ht="14.25" hidden="false" customHeight="false" outlineLevel="0" collapsed="false">
      <c r="B50" s="54" t="s">
        <v>50</v>
      </c>
      <c r="C50" s="55" t="n">
        <f aca="false">datos23!I19</f>
        <v>0.013540315833293</v>
      </c>
      <c r="L50" s="54" t="s">
        <v>50</v>
      </c>
      <c r="M50" s="55" t="n">
        <f aca="false">datos23!I56</f>
        <v>0.0170206723700866</v>
      </c>
      <c r="N50" s="55"/>
    </row>
    <row r="52" customFormat="false" ht="18" hidden="false" customHeight="false" outlineLevel="0" collapsed="false">
      <c r="B52" s="45"/>
      <c r="E52" s="57"/>
      <c r="F52" s="58"/>
      <c r="L52" s="45"/>
      <c r="O52" s="59"/>
      <c r="P52" s="48"/>
    </row>
    <row r="53" customFormat="false" ht="14.25" hidden="false" customHeight="false" outlineLevel="0" collapsed="false">
      <c r="C53" s="16"/>
      <c r="M53" s="16"/>
    </row>
    <row r="54" customFormat="false" ht="14.25" hidden="false" customHeight="false" outlineLevel="0" collapsed="false">
      <c r="B54" s="16"/>
      <c r="C54" s="46"/>
      <c r="L54" s="16"/>
      <c r="M54" s="46"/>
    </row>
    <row r="55" customFormat="false" ht="14.25" hidden="false" customHeight="false" outlineLevel="0" collapsed="false">
      <c r="B55" s="16"/>
      <c r="C55" s="46"/>
      <c r="L55" s="16"/>
      <c r="M55" s="46"/>
    </row>
    <row r="56" customFormat="false" ht="14.25" hidden="false" customHeight="false" outlineLevel="0" collapsed="false">
      <c r="B56" s="16"/>
      <c r="C56" s="46"/>
      <c r="L56" s="16"/>
      <c r="M56" s="46"/>
    </row>
    <row r="57" customFormat="false" ht="14.25" hidden="false" customHeight="false" outlineLevel="0" collapsed="false">
      <c r="B57" s="16"/>
      <c r="C57" s="46"/>
      <c r="L57" s="16"/>
      <c r="M57" s="46"/>
    </row>
    <row r="58" customFormat="false" ht="14.25" hidden="false" customHeight="false" outlineLevel="0" collapsed="false">
      <c r="B58" s="16"/>
      <c r="C58" s="46"/>
      <c r="L58" s="16"/>
      <c r="M58" s="46"/>
    </row>
    <row r="59" customFormat="false" ht="14.25" hidden="false" customHeight="false" outlineLevel="0" collapsed="false">
      <c r="B59" s="16"/>
      <c r="C59" s="46"/>
      <c r="L59" s="16"/>
      <c r="M59" s="46"/>
    </row>
    <row r="60" customFormat="false" ht="14.25" hidden="false" customHeight="false" outlineLevel="0" collapsed="false">
      <c r="B60" s="16"/>
      <c r="C60" s="46"/>
      <c r="L60" s="16"/>
      <c r="M60" s="46"/>
    </row>
    <row r="61" customFormat="false" ht="14.25" hidden="false" customHeight="false" outlineLevel="0" collapsed="false">
      <c r="B61" s="16"/>
      <c r="C61" s="46"/>
      <c r="L61" s="16"/>
      <c r="M61" s="46"/>
    </row>
    <row r="62" customFormat="false" ht="14.25" hidden="false" customHeight="false" outlineLevel="0" collapsed="false">
      <c r="B62" s="16"/>
      <c r="C62" s="46"/>
      <c r="L62" s="16"/>
      <c r="M62" s="46"/>
    </row>
    <row r="63" customFormat="false" ht="14.25" hidden="false" customHeight="false" outlineLevel="0" collapsed="false">
      <c r="B63" s="16"/>
      <c r="C63" s="46"/>
      <c r="L63" s="16"/>
      <c r="M63" s="46"/>
    </row>
    <row r="64" customFormat="false" ht="14.25" hidden="false" customHeight="false" outlineLevel="0" collapsed="false">
      <c r="B64" s="16"/>
      <c r="C64" s="46"/>
      <c r="L64" s="16"/>
      <c r="M64" s="46"/>
    </row>
    <row r="65" customFormat="false" ht="14.25" hidden="false" customHeight="false" outlineLevel="0" collapsed="false">
      <c r="B65" s="16"/>
      <c r="C65" s="46"/>
      <c r="L65" s="16"/>
      <c r="M65" s="46"/>
    </row>
    <row r="66" customFormat="false" ht="14.25" hidden="false" customHeight="false" outlineLevel="0" collapsed="false">
      <c r="B66" s="54"/>
      <c r="C66" s="49"/>
      <c r="L66" s="54"/>
      <c r="M66" s="49"/>
    </row>
    <row r="67" customFormat="false" ht="14.25" hidden="false" customHeight="false" outlineLevel="0" collapsed="false">
      <c r="B67" s="54"/>
      <c r="C67" s="49"/>
      <c r="L67" s="54"/>
      <c r="M67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4.25" zeroHeight="false" outlineLevelRow="0" outlineLevelCol="0"/>
  <cols>
    <col collapsed="false" customWidth="true" hidden="false" outlineLevel="0" max="8" min="8" style="0" width="12.67"/>
    <col collapsed="false" customWidth="true" hidden="false" outlineLevel="0" max="9" min="9" style="0" width="13.66"/>
    <col collapsed="false" customWidth="true" hidden="false" outlineLevel="0" max="10" min="10" style="0" width="11.67"/>
  </cols>
  <sheetData>
    <row r="2" customFormat="false" ht="14.25" hidden="false" customHeight="false" outlineLevel="0" collapsed="false">
      <c r="B2" s="60" t="s">
        <v>53</v>
      </c>
      <c r="C2" s="61"/>
    </row>
    <row r="3" customFormat="false" ht="14.25" hidden="false" customHeight="false" outlineLevel="0" collapsed="false">
      <c r="B3" s="2" t="s">
        <v>13</v>
      </c>
      <c r="C3" s="16" t="n">
        <v>4156946</v>
      </c>
    </row>
    <row r="4" customFormat="false" ht="14.25" hidden="false" customHeight="false" outlineLevel="0" collapsed="false">
      <c r="B4" s="62"/>
      <c r="C4" s="63" t="s">
        <v>14</v>
      </c>
      <c r="D4" s="63" t="s">
        <v>15</v>
      </c>
      <c r="E4" s="63" t="s">
        <v>16</v>
      </c>
      <c r="F4" s="63" t="s">
        <v>17</v>
      </c>
      <c r="G4" s="63" t="s">
        <v>18</v>
      </c>
      <c r="H4" s="63" t="s">
        <v>19</v>
      </c>
      <c r="I4" s="63" t="s">
        <v>20</v>
      </c>
      <c r="J4" s="63" t="s">
        <v>21</v>
      </c>
    </row>
    <row r="5" customFormat="false" ht="14.25" hidden="false" customHeight="false" outlineLevel="0" collapsed="false">
      <c r="B5" s="64" t="s">
        <v>22</v>
      </c>
      <c r="C5" s="20" t="n">
        <f aca="false">97880+151505+47350</f>
        <v>296735</v>
      </c>
      <c r="D5" s="20" t="n">
        <v>18286055.28</v>
      </c>
      <c r="E5" s="21" t="n">
        <v>805.5</v>
      </c>
      <c r="F5" s="20" t="n">
        <f aca="false">D5/E5</f>
        <v>22701.4963128492</v>
      </c>
      <c r="G5" s="22" t="n">
        <f aca="false">F5/C5</f>
        <v>0.0765042759123432</v>
      </c>
      <c r="H5" s="20" t="n">
        <v>2196843</v>
      </c>
      <c r="I5" s="23" t="n">
        <f aca="false">F5/H5</f>
        <v>0.0103336908066936</v>
      </c>
      <c r="J5" s="24" t="n">
        <f aca="false">C5/H5</f>
        <v>0.135073375748745</v>
      </c>
    </row>
    <row r="6" customFormat="false" ht="14.25" hidden="false" customHeight="false" outlineLevel="0" collapsed="false">
      <c r="B6" s="64" t="s">
        <v>23</v>
      </c>
      <c r="C6" s="20" t="n">
        <f aca="false">111425+169940+66270</f>
        <v>347635</v>
      </c>
      <c r="D6" s="20" t="n">
        <v>29363562.32</v>
      </c>
      <c r="E6" s="21" t="n">
        <v>841.7</v>
      </c>
      <c r="F6" s="20" t="n">
        <f aca="false">D6/E6</f>
        <v>34886.0191517168</v>
      </c>
      <c r="G6" s="22" t="n">
        <f aca="false">F6/C6</f>
        <v>0.100352436180813</v>
      </c>
      <c r="H6" s="65" t="n">
        <v>2969960</v>
      </c>
      <c r="I6" s="23" t="n">
        <f aca="false">F6/H6</f>
        <v>0.0117462925937443</v>
      </c>
      <c r="J6" s="24" t="n">
        <f aca="false">C6/H6</f>
        <v>0.117050397985158</v>
      </c>
    </row>
    <row r="7" customFormat="false" ht="14.25" hidden="false" customHeight="false" outlineLevel="0" collapsed="false">
      <c r="B7" s="64" t="s">
        <v>24</v>
      </c>
      <c r="C7" s="20" t="n">
        <v>319955</v>
      </c>
      <c r="D7" s="20" t="n">
        <v>32216987</v>
      </c>
      <c r="E7" s="21" t="n">
        <v>858</v>
      </c>
      <c r="F7" s="20" t="n">
        <f aca="false">D7/E7</f>
        <v>37548.9358974359</v>
      </c>
      <c r="G7" s="22" t="n">
        <f aca="false">F7/C7</f>
        <v>0.117356927997487</v>
      </c>
      <c r="H7" s="20" t="n">
        <v>1867230</v>
      </c>
      <c r="I7" s="23" t="n">
        <f aca="false">F7/H7</f>
        <v>0.020109432634135</v>
      </c>
      <c r="J7" s="24" t="n">
        <f aca="false">C7/H7</f>
        <v>0.171352752472914</v>
      </c>
    </row>
    <row r="8" customFormat="false" ht="14.25" hidden="false" customHeight="false" outlineLevel="0" collapsed="false">
      <c r="B8" s="64" t="s">
        <v>25</v>
      </c>
      <c r="C8" s="20" t="n">
        <v>313960</v>
      </c>
      <c r="D8" s="20" t="n">
        <v>31715558</v>
      </c>
      <c r="E8" s="21" t="n">
        <v>888</v>
      </c>
      <c r="F8" s="20" t="n">
        <f aca="false">D8/E8</f>
        <v>35715.7184684685</v>
      </c>
      <c r="G8" s="22" t="n">
        <f aca="false">F8/C8</f>
        <v>0.113758817901862</v>
      </c>
      <c r="H8" s="20" t="n">
        <v>2025427</v>
      </c>
      <c r="I8" s="23" t="n">
        <f aca="false">F8/H8</f>
        <v>0.0176336735258632</v>
      </c>
      <c r="J8" s="24" t="n">
        <f aca="false">C8/H8</f>
        <v>0.155009289399223</v>
      </c>
    </row>
    <row r="9" customFormat="false" ht="14.25" hidden="false" customHeight="false" outlineLevel="0" collapsed="false">
      <c r="B9" s="64" t="s">
        <v>26</v>
      </c>
      <c r="C9" s="20" t="n">
        <v>370005</v>
      </c>
      <c r="D9" s="20" t="n">
        <v>35697362</v>
      </c>
      <c r="E9" s="21" t="n">
        <v>906</v>
      </c>
      <c r="F9" s="20" t="n">
        <f aca="false">D9/E9</f>
        <v>39401.0618101545</v>
      </c>
      <c r="G9" s="22" t="n">
        <f aca="false">F9/C9</f>
        <v>0.106487917217753</v>
      </c>
      <c r="H9" s="20" t="n">
        <v>3160491</v>
      </c>
      <c r="I9" s="23" t="n">
        <f aca="false">F9/H9</f>
        <v>0.0124667533652697</v>
      </c>
      <c r="J9" s="24" t="n">
        <f aca="false">C9/H9</f>
        <v>0.117071999255812</v>
      </c>
    </row>
    <row r="10" customFormat="false" ht="14.25" hidden="false" customHeight="false" outlineLevel="0" collapsed="false">
      <c r="B10" s="64" t="s">
        <v>27</v>
      </c>
      <c r="C10" s="20" t="n">
        <v>249650</v>
      </c>
      <c r="D10" s="20" t="n">
        <v>39545373</v>
      </c>
      <c r="E10" s="21" t="n">
        <v>923</v>
      </c>
      <c r="F10" s="20" t="n">
        <f aca="false">D10/E10</f>
        <v>42844.3911159263</v>
      </c>
      <c r="G10" s="22" t="n">
        <f aca="false">F10/C10</f>
        <v>0.1716178294249</v>
      </c>
      <c r="H10" s="20" t="n">
        <v>1746477</v>
      </c>
      <c r="I10" s="23" t="n">
        <f aca="false">F10/H10</f>
        <v>0.024531895419136</v>
      </c>
      <c r="J10" s="24" t="n">
        <f aca="false">C10/H10</f>
        <v>0.142944911384461</v>
      </c>
    </row>
    <row r="11" customFormat="false" ht="14.25" hidden="false" customHeight="false" outlineLevel="0" collapsed="false">
      <c r="B11" s="64" t="s">
        <v>28</v>
      </c>
      <c r="C11" s="20" t="n">
        <v>381437</v>
      </c>
      <c r="D11" s="20" t="n">
        <v>46807707</v>
      </c>
      <c r="E11" s="21" t="n">
        <v>942</v>
      </c>
      <c r="F11" s="20" t="n">
        <f aca="false">D11/E11</f>
        <v>49689.7101910828</v>
      </c>
      <c r="G11" s="22" t="n">
        <f aca="false">F11/C11</f>
        <v>0.130269769820659</v>
      </c>
      <c r="H11" s="20" t="n">
        <v>2603936</v>
      </c>
      <c r="I11" s="23" t="n">
        <f aca="false">F11/H11</f>
        <v>0.0190825389683475</v>
      </c>
      <c r="J11" s="24" t="n">
        <f aca="false">C11/H11</f>
        <v>0.146484783036142</v>
      </c>
    </row>
    <row r="12" customFormat="false" ht="14.25" hidden="false" customHeight="false" outlineLevel="0" collapsed="false">
      <c r="B12" s="64" t="s">
        <v>29</v>
      </c>
      <c r="C12" s="20" t="n">
        <v>371130</v>
      </c>
      <c r="D12" s="20" t="n">
        <v>47316894</v>
      </c>
      <c r="E12" s="21" t="n">
        <v>961</v>
      </c>
      <c r="F12" s="20" t="n">
        <f aca="false">D12/E12</f>
        <v>49237.1425598335</v>
      </c>
      <c r="G12" s="22" t="n">
        <f aca="false">F12/C12</f>
        <v>0.132668182469306</v>
      </c>
      <c r="H12" s="20" t="n">
        <v>1407612</v>
      </c>
      <c r="I12" s="23" t="n">
        <f aca="false">F12/H12</f>
        <v>0.0349792006318741</v>
      </c>
      <c r="J12" s="24" t="n">
        <f aca="false">C12/H12</f>
        <v>0.263659303842252</v>
      </c>
    </row>
    <row r="13" customFormat="false" ht="14.25" hidden="false" customHeight="false" outlineLevel="0" collapsed="false">
      <c r="B13" s="64" t="s">
        <v>30</v>
      </c>
      <c r="C13" s="20" t="n">
        <v>311615</v>
      </c>
      <c r="D13" s="20" t="n">
        <v>44268944</v>
      </c>
      <c r="E13" s="21" t="n">
        <v>991</v>
      </c>
      <c r="F13" s="20" t="n">
        <f aca="false">D13/E13</f>
        <v>44670.9828456105</v>
      </c>
      <c r="G13" s="22" t="n">
        <f aca="false">F13/C13</f>
        <v>0.143353121145036</v>
      </c>
      <c r="H13" s="20" t="n">
        <v>2218621</v>
      </c>
      <c r="I13" s="23" t="n">
        <f aca="false">F13/H13</f>
        <v>0.0201345713601424</v>
      </c>
      <c r="J13" s="24" t="n">
        <f aca="false">C13/H13</f>
        <v>0.140454363318476</v>
      </c>
    </row>
    <row r="14" customFormat="false" ht="14.25" hidden="false" customHeight="false" outlineLevel="0" collapsed="false">
      <c r="B14" s="64" t="s">
        <v>31</v>
      </c>
      <c r="C14" s="20" t="n">
        <v>374735</v>
      </c>
      <c r="D14" s="20" t="n">
        <v>59088960</v>
      </c>
      <c r="E14" s="21" t="n">
        <v>972</v>
      </c>
      <c r="F14" s="20" t="n">
        <f aca="false">D14/E14</f>
        <v>60791.1111111111</v>
      </c>
      <c r="G14" s="22" t="n">
        <f aca="false">F14/C14</f>
        <v>0.162224268112429</v>
      </c>
      <c r="H14" s="20" t="n">
        <v>2887852</v>
      </c>
      <c r="I14" s="23" t="n">
        <f aca="false">F14/H14</f>
        <v>0.0210506324808581</v>
      </c>
      <c r="J14" s="24" t="n">
        <f aca="false">C14/H14</f>
        <v>0.129762536307262</v>
      </c>
    </row>
    <row r="15" customFormat="false" ht="14.25" hidden="false" customHeight="false" outlineLevel="0" collapsed="false">
      <c r="B15" s="64" t="s">
        <v>32</v>
      </c>
      <c r="C15" s="20" t="n">
        <v>409235</v>
      </c>
      <c r="D15" s="20" t="n">
        <v>54475169</v>
      </c>
      <c r="E15" s="21" t="n">
        <v>979</v>
      </c>
      <c r="F15" s="20" t="n">
        <f aca="false">D15/E15</f>
        <v>55643.6864147089</v>
      </c>
      <c r="G15" s="22" t="n">
        <f aca="false">F15/C15</f>
        <v>0.135970008466306</v>
      </c>
      <c r="H15" s="20" t="n">
        <v>2949273</v>
      </c>
      <c r="I15" s="23" t="n">
        <f aca="false">F15/H15</f>
        <v>0.0188669161568661</v>
      </c>
      <c r="J15" s="24" t="n">
        <f aca="false">C15/H15</f>
        <v>0.138757924410524</v>
      </c>
    </row>
    <row r="16" customFormat="false" ht="14.25" hidden="false" customHeight="false" outlineLevel="0" collapsed="false">
      <c r="B16" s="64" t="s">
        <v>33</v>
      </c>
      <c r="C16" s="20" t="n">
        <v>230130</v>
      </c>
      <c r="D16" s="20" t="n">
        <v>37072281</v>
      </c>
      <c r="E16" s="21" t="n">
        <v>1002</v>
      </c>
      <c r="F16" s="20" t="n">
        <f aca="false">D16/E16</f>
        <v>36998.2844311377</v>
      </c>
      <c r="G16" s="22" t="n">
        <f aca="false">F16/C16</f>
        <v>0.160771235523998</v>
      </c>
      <c r="H16" s="20" t="n">
        <v>1062953</v>
      </c>
      <c r="I16" s="23" t="n">
        <f aca="false">F16/H16</f>
        <v>0.0348070746600628</v>
      </c>
      <c r="J16" s="24" t="n">
        <f aca="false">C16/H16</f>
        <v>0.216500635493761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3976222</v>
      </c>
      <c r="D18" s="26"/>
      <c r="E18" s="26"/>
      <c r="F18" s="66" t="n">
        <f aca="false">SUM(F5:F16)</f>
        <v>510128.540310036</v>
      </c>
      <c r="G18" s="26"/>
      <c r="H18" s="66" t="n">
        <f aca="false">SUM(H5:H16)</f>
        <v>27096675</v>
      </c>
    </row>
    <row r="19" customFormat="false" ht="14.25" hidden="false" customHeight="false" outlineLevel="0" collapsed="false">
      <c r="B19" s="27" t="s">
        <v>35</v>
      </c>
      <c r="C19" s="10"/>
      <c r="D19" s="10"/>
      <c r="E19" s="10"/>
      <c r="F19" s="10"/>
      <c r="G19" s="28" t="n">
        <f aca="false">(G5*F5+G6*F6+G7*F7+G8*F8+G9*F9+G10*F10+G11*F11+G12*F12+G13*F13+G14*F14+G15*F15+G16*F16)/F18</f>
        <v>0.133379682423305</v>
      </c>
      <c r="H19" s="16"/>
      <c r="I19" s="28" t="n">
        <f aca="false">(I5*H5+I6*H6+I7*H7+I8*H8+I9*H9+I10*H10+I11*H11+I12*H12+I13*H13+I14*H14+H15*I15+H16*I16)/H18</f>
        <v>0.0188262412384559</v>
      </c>
      <c r="J19" s="28" t="n">
        <f aca="false">(J5*H5+J6*H6+J7*H7+J8*H8+J9*H9+J10*H10+J11*J11+J12*H12+J13*H13+J14*H14+J15*H15+J16*H16)/H18</f>
        <v>0.132665170964991</v>
      </c>
    </row>
    <row r="21" customFormat="false" ht="14.25" hidden="false" customHeight="false" outlineLevel="0" collapsed="false">
      <c r="B21" s="60" t="s">
        <v>13</v>
      </c>
      <c r="C21" s="67" t="n">
        <v>107552</v>
      </c>
      <c r="D21" s="2" t="s">
        <v>36</v>
      </c>
    </row>
    <row r="22" customFormat="false" ht="14.25" hidden="false" customHeight="false" outlineLevel="0" collapsed="false">
      <c r="B22" s="62"/>
      <c r="C22" s="63" t="s">
        <v>14</v>
      </c>
      <c r="D22" s="63" t="s">
        <v>15</v>
      </c>
      <c r="E22" s="63" t="s">
        <v>16</v>
      </c>
      <c r="F22" s="63" t="s">
        <v>17</v>
      </c>
      <c r="G22" s="63" t="s">
        <v>18</v>
      </c>
      <c r="H22" s="63" t="s">
        <v>37</v>
      </c>
      <c r="I22" s="63" t="s">
        <v>38</v>
      </c>
      <c r="J22" s="63" t="s">
        <v>39</v>
      </c>
    </row>
    <row r="23" customFormat="false" ht="14.25" hidden="false" customHeight="false" outlineLevel="0" collapsed="false">
      <c r="B23" s="64" t="s">
        <v>22</v>
      </c>
      <c r="C23" s="20" t="n">
        <v>1373</v>
      </c>
      <c r="D23" s="20" t="n">
        <v>5079576</v>
      </c>
      <c r="E23" s="21" t="n">
        <v>805.5</v>
      </c>
      <c r="F23" s="20" t="n">
        <f aca="false">D23/E23</f>
        <v>6306.11545623836</v>
      </c>
      <c r="G23" s="68" t="n">
        <f aca="false">F23/C23</f>
        <v>4.59294643571621</v>
      </c>
      <c r="H23" s="20" t="n">
        <v>19958</v>
      </c>
      <c r="I23" s="23" t="n">
        <f aca="false">F23/H23</f>
        <v>0.315969308359473</v>
      </c>
      <c r="J23" s="24" t="n">
        <f aca="false">C23/H23</f>
        <v>0.0687944683836056</v>
      </c>
    </row>
    <row r="24" customFormat="false" ht="14.25" hidden="false" customHeight="false" outlineLevel="0" collapsed="false">
      <c r="B24" s="64" t="s">
        <v>23</v>
      </c>
      <c r="C24" s="20" t="n">
        <v>1352</v>
      </c>
      <c r="D24" s="20" t="n">
        <v>5004675</v>
      </c>
      <c r="E24" s="21" t="n">
        <v>841.7</v>
      </c>
      <c r="F24" s="20" t="n">
        <f aca="false">D24/E24</f>
        <v>5945.9130331472</v>
      </c>
      <c r="G24" s="68" t="n">
        <f aca="false">F24/C24</f>
        <v>4.39786466948758</v>
      </c>
      <c r="H24" s="20" t="n">
        <v>15358</v>
      </c>
      <c r="I24" s="23" t="n">
        <f aca="false">F24/H24</f>
        <v>0.387154123788723</v>
      </c>
      <c r="J24" s="24" t="n">
        <f aca="false">C24/H24</f>
        <v>0.0880322958718583</v>
      </c>
    </row>
    <row r="25" customFormat="false" ht="14.25" hidden="false" customHeight="false" outlineLevel="0" collapsed="false">
      <c r="B25" s="64" t="s">
        <v>24</v>
      </c>
      <c r="C25" s="20" t="n">
        <v>1863</v>
      </c>
      <c r="D25" s="20" t="n">
        <v>6894514</v>
      </c>
      <c r="E25" s="21" t="n">
        <v>858</v>
      </c>
      <c r="F25" s="20" t="n">
        <f aca="false">D25/E25</f>
        <v>8035.5641025641</v>
      </c>
      <c r="G25" s="68" t="n">
        <f aca="false">F25/C25</f>
        <v>4.31323891710365</v>
      </c>
      <c r="H25" s="20" t="n">
        <v>0</v>
      </c>
      <c r="I25" s="23"/>
      <c r="J25" s="24"/>
    </row>
    <row r="26" customFormat="false" ht="14.25" hidden="false" customHeight="false" outlineLevel="0" collapsed="false">
      <c r="B26" s="64" t="s">
        <v>25</v>
      </c>
      <c r="C26" s="20" t="n">
        <v>1863</v>
      </c>
      <c r="D26" s="20" t="n">
        <v>6894514</v>
      </c>
      <c r="E26" s="21" t="n">
        <v>888</v>
      </c>
      <c r="F26" s="20" t="n">
        <f aca="false">D26/E26</f>
        <v>7764.09234234234</v>
      </c>
      <c r="G26" s="68" t="n">
        <f aca="false">F26/C26</f>
        <v>4.16752138612042</v>
      </c>
      <c r="H26" s="20" t="n">
        <v>11472</v>
      </c>
      <c r="I26" s="23" t="n">
        <f aca="false">F26/H26</f>
        <v>0.676786292045183</v>
      </c>
      <c r="J26" s="24" t="n">
        <f aca="false">C26/H26</f>
        <v>0.16239539748954</v>
      </c>
    </row>
    <row r="27" customFormat="false" ht="14.25" hidden="false" customHeight="false" outlineLevel="0" collapsed="false">
      <c r="B27" s="64" t="s">
        <v>26</v>
      </c>
      <c r="C27" s="20" t="n">
        <v>2052</v>
      </c>
      <c r="D27" s="20" t="n">
        <v>7593209</v>
      </c>
      <c r="E27" s="21" t="n">
        <v>906</v>
      </c>
      <c r="F27" s="20" t="n">
        <f aca="false">D27/E27</f>
        <v>8381.02538631347</v>
      </c>
      <c r="G27" s="68" t="n">
        <f aca="false">F27/C27</f>
        <v>4.08432036370052</v>
      </c>
      <c r="H27" s="20" t="n">
        <v>11664</v>
      </c>
      <c r="I27" s="23" t="n">
        <f aca="false">F27/H27</f>
        <v>0.718537841762128</v>
      </c>
      <c r="J27" s="24" t="n">
        <f aca="false">C27/H27</f>
        <v>0.175925925925926</v>
      </c>
    </row>
    <row r="28" customFormat="false" ht="14.25" hidden="false" customHeight="false" outlineLevel="0" collapsed="false">
      <c r="B28" s="64" t="s">
        <v>27</v>
      </c>
      <c r="C28" s="20" t="n">
        <v>3948</v>
      </c>
      <c r="D28" s="20" t="n">
        <v>8967410</v>
      </c>
      <c r="E28" s="21" t="n">
        <v>923</v>
      </c>
      <c r="F28" s="20" t="n">
        <f aca="false">D28/E28</f>
        <v>9715.50379198267</v>
      </c>
      <c r="G28" s="68" t="n">
        <f aca="false">F28/C28</f>
        <v>2.46086722188011</v>
      </c>
      <c r="H28" s="20" t="n">
        <v>7200</v>
      </c>
      <c r="I28" s="23" t="n">
        <f aca="false">F28/H28</f>
        <v>1.34937552666426</v>
      </c>
      <c r="J28" s="24" t="n">
        <f aca="false">C28/H28</f>
        <v>0.548333333333333</v>
      </c>
    </row>
    <row r="29" customFormat="false" ht="14.25" hidden="false" customHeight="false" outlineLevel="0" collapsed="false">
      <c r="B29" s="64" t="s">
        <v>28</v>
      </c>
      <c r="C29" s="20" t="n">
        <v>3855</v>
      </c>
      <c r="D29" s="20" t="n">
        <v>8756736</v>
      </c>
      <c r="E29" s="21" t="n">
        <v>942</v>
      </c>
      <c r="F29" s="20" t="n">
        <f aca="false">D29/E29</f>
        <v>9295.89808917198</v>
      </c>
      <c r="G29" s="68" t="n">
        <f aca="false">F29/C29</f>
        <v>2.41138731236627</v>
      </c>
      <c r="H29" s="20" t="n">
        <v>4896</v>
      </c>
      <c r="I29" s="23" t="n">
        <f aca="false">F29/H29</f>
        <v>1.89867199533741</v>
      </c>
      <c r="J29" s="24" t="n">
        <f aca="false">C29/H29</f>
        <v>0.787377450980392</v>
      </c>
    </row>
    <row r="30" customFormat="false" ht="14.25" hidden="false" customHeight="false" outlineLevel="0" collapsed="false">
      <c r="B30" s="64" t="s">
        <v>29</v>
      </c>
      <c r="C30" s="20" t="n">
        <v>4032</v>
      </c>
      <c r="D30" s="20" t="n">
        <v>9157682</v>
      </c>
      <c r="E30" s="21" t="n">
        <v>961</v>
      </c>
      <c r="F30" s="20" t="n">
        <f aca="false">D30/E30</f>
        <v>9529.32570239334</v>
      </c>
      <c r="G30" s="68" t="n">
        <f aca="false">F30/C30</f>
        <v>2.36342403333168</v>
      </c>
      <c r="H30" s="20" t="n">
        <v>11280</v>
      </c>
      <c r="I30" s="23" t="n">
        <f aca="false">F30/H30</f>
        <v>0.84479837787175</v>
      </c>
      <c r="J30" s="24" t="n">
        <f aca="false">C30/H30</f>
        <v>0.357446808510638</v>
      </c>
    </row>
    <row r="31" customFormat="false" ht="14.25" hidden="false" customHeight="false" outlineLevel="0" collapsed="false">
      <c r="B31" s="64" t="s">
        <v>30</v>
      </c>
      <c r="C31" s="20" t="n">
        <v>5544</v>
      </c>
      <c r="D31" s="20" t="n">
        <v>9473662</v>
      </c>
      <c r="E31" s="21" t="n">
        <v>991</v>
      </c>
      <c r="F31" s="20" t="n">
        <f aca="false">D31/E31</f>
        <v>9559.69929364279</v>
      </c>
      <c r="G31" s="68" t="n">
        <f aca="false">F31/C31</f>
        <v>1.7243324844233</v>
      </c>
      <c r="H31" s="20" t="n">
        <v>7728</v>
      </c>
      <c r="I31" s="23" t="n">
        <f aca="false">F31/H31</f>
        <v>1.23702113012976</v>
      </c>
      <c r="J31" s="24" t="n">
        <f aca="false">C31/H31</f>
        <v>0.717391304347826</v>
      </c>
    </row>
    <row r="32" customFormat="false" ht="14.25" hidden="false" customHeight="false" outlineLevel="0" collapsed="false">
      <c r="B32" s="64" t="s">
        <v>31</v>
      </c>
      <c r="C32" s="20" t="n">
        <v>4932</v>
      </c>
      <c r="D32" s="20" t="n">
        <v>14342392</v>
      </c>
      <c r="E32" s="21" t="n">
        <v>972</v>
      </c>
      <c r="F32" s="20" t="n">
        <f aca="false">D32/E32</f>
        <v>14755.5473251029</v>
      </c>
      <c r="G32" s="68" t="n">
        <f aca="false">F32/C32</f>
        <v>2.99179791668753</v>
      </c>
      <c r="H32" s="20" t="n">
        <v>13104</v>
      </c>
      <c r="I32" s="23" t="n">
        <f aca="false">F32/H32</f>
        <v>1.12603383128074</v>
      </c>
      <c r="J32" s="24" t="n">
        <f aca="false">C32/H32</f>
        <v>0.376373626373626</v>
      </c>
    </row>
    <row r="33" customFormat="false" ht="14.25" hidden="false" customHeight="false" outlineLevel="0" collapsed="false">
      <c r="B33" s="64" t="s">
        <v>32</v>
      </c>
      <c r="C33" s="20" t="n">
        <v>5076</v>
      </c>
      <c r="D33" s="20" t="n">
        <v>14191349</v>
      </c>
      <c r="E33" s="21" t="n">
        <v>979</v>
      </c>
      <c r="F33" s="20" t="n">
        <f aca="false">D33/E33</f>
        <v>14495.759959142</v>
      </c>
      <c r="G33" s="68" t="n">
        <f aca="false">F33/C33</f>
        <v>2.85574467280181</v>
      </c>
      <c r="H33" s="20" t="n">
        <v>34464</v>
      </c>
      <c r="I33" s="23" t="n">
        <f aca="false">F33/H33</f>
        <v>0.420605848396645</v>
      </c>
      <c r="J33" s="24" t="n">
        <f aca="false">C33/H33</f>
        <v>0.147284122562674</v>
      </c>
    </row>
    <row r="34" customFormat="false" ht="14.25" hidden="false" customHeight="false" outlineLevel="0" collapsed="false">
      <c r="B34" s="64" t="s">
        <v>33</v>
      </c>
      <c r="C34" s="20" t="n">
        <v>6084</v>
      </c>
      <c r="D34" s="20" t="n">
        <v>14447495</v>
      </c>
      <c r="E34" s="21" t="n">
        <v>1002</v>
      </c>
      <c r="F34" s="20" t="n">
        <f aca="false">D34/E34</f>
        <v>14418.6576846307</v>
      </c>
      <c r="G34" s="68" t="n">
        <f aca="false">F34/C34</f>
        <v>2.36993058590249</v>
      </c>
      <c r="H34" s="20" t="n">
        <v>12480</v>
      </c>
      <c r="I34" s="23" t="n">
        <f aca="false">F34/H34</f>
        <v>1.15534116062746</v>
      </c>
      <c r="J34" s="24" t="n">
        <f aca="false">C34/H34</f>
        <v>0.4875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41974</v>
      </c>
      <c r="D36" s="26"/>
      <c r="E36" s="26"/>
      <c r="F36" s="26" t="n">
        <f aca="false">SUM(F23:F34)</f>
        <v>118203.102166672</v>
      </c>
      <c r="G36" s="26"/>
      <c r="H36" s="26" t="n">
        <f aca="false">SUM(H23:H34)</f>
        <v>149604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3.0574800654127</v>
      </c>
      <c r="H37" s="16"/>
      <c r="I37" s="31" t="n">
        <f aca="false">(I23*H23+I24*H24+I25*H25+I26*H26+I27*H27+I28*H28+I29*H29+I30*H30+I31*H31+I32*H32+I33*H33+I34*H34)/H36</f>
        <v>0.736394334804602</v>
      </c>
      <c r="J37" s="31" t="n">
        <f aca="false">(J23*H23+J24*H24+J25*H25+J26*H26+J27*H27+J28*H28+J29*J29+J30*H30+J31*H31+J32*H32+J33*H33+J34*H34)/H36</f>
        <v>0.242350605353134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69" t="s">
        <v>53</v>
      </c>
      <c r="C39" s="61"/>
    </row>
    <row r="40" customFormat="false" ht="14.25" hidden="false" customHeight="false" outlineLevel="0" collapsed="false">
      <c r="B40" s="32" t="s">
        <v>41</v>
      </c>
      <c r="C40" s="16"/>
    </row>
    <row r="41" customFormat="false" ht="14.25" hidden="false" customHeight="false" outlineLevel="0" collapsed="false">
      <c r="B41" s="62" t="s">
        <v>54</v>
      </c>
      <c r="C41" s="63" t="s">
        <v>14</v>
      </c>
      <c r="D41" s="63" t="s">
        <v>15</v>
      </c>
      <c r="E41" s="63" t="s">
        <v>16</v>
      </c>
      <c r="F41" s="63" t="s">
        <v>17</v>
      </c>
      <c r="G41" s="63" t="s">
        <v>18</v>
      </c>
      <c r="H41" s="63" t="s">
        <v>55</v>
      </c>
      <c r="I41" s="70" t="s">
        <v>56</v>
      </c>
      <c r="J41" s="63" t="s">
        <v>21</v>
      </c>
    </row>
    <row r="42" customFormat="false" ht="14.25" hidden="false" customHeight="false" outlineLevel="0" collapsed="false">
      <c r="B42" s="64" t="s">
        <v>22</v>
      </c>
      <c r="C42" s="20" t="n">
        <f aca="false">C5+C23</f>
        <v>298108</v>
      </c>
      <c r="D42" s="20" t="n">
        <f aca="false">D5+D23</f>
        <v>23365631.28</v>
      </c>
      <c r="E42" s="68" t="n">
        <v>805.5</v>
      </c>
      <c r="F42" s="20" t="n">
        <f aca="false">D42/E42</f>
        <v>29007.6117690875</v>
      </c>
      <c r="G42" s="22" t="n">
        <f aca="false">F42/C42</f>
        <v>0.0973057139328281</v>
      </c>
      <c r="H42" s="20" t="n">
        <f aca="false">H5+H23</f>
        <v>2216801</v>
      </c>
      <c r="I42" s="23" t="n">
        <f aca="false">F42/H42</f>
        <v>0.0130853476559635</v>
      </c>
      <c r="J42" s="24" t="n">
        <f aca="false">C42/H42</f>
        <v>0.134476662542105</v>
      </c>
    </row>
    <row r="43" customFormat="false" ht="14.25" hidden="false" customHeight="false" outlineLevel="0" collapsed="false">
      <c r="B43" s="64" t="s">
        <v>23</v>
      </c>
      <c r="C43" s="20" t="n">
        <f aca="false">C6+C24</f>
        <v>348987</v>
      </c>
      <c r="D43" s="20" t="n">
        <f aca="false">D6+D24</f>
        <v>34368237.32</v>
      </c>
      <c r="E43" s="21" t="n">
        <f aca="false">E6</f>
        <v>841.7</v>
      </c>
      <c r="F43" s="20" t="n">
        <f aca="false">D43/E43</f>
        <v>40831.932184864</v>
      </c>
      <c r="G43" s="22" t="n">
        <f aca="false">F43/C43</f>
        <v>0.117001298572336</v>
      </c>
      <c r="H43" s="20" t="n">
        <f aca="false">H6+H24</f>
        <v>2985318</v>
      </c>
      <c r="I43" s="23" t="n">
        <f aca="false">F43/H43</f>
        <v>0.0136775821486569</v>
      </c>
      <c r="J43" s="24" t="n">
        <f aca="false">C43/H43</f>
        <v>0.116901114052171</v>
      </c>
    </row>
    <row r="44" customFormat="false" ht="14.25" hidden="false" customHeight="false" outlineLevel="0" collapsed="false">
      <c r="B44" s="64" t="s">
        <v>24</v>
      </c>
      <c r="C44" s="20" t="n">
        <f aca="false">C7+C25</f>
        <v>321818</v>
      </c>
      <c r="D44" s="20" t="n">
        <f aca="false">D7+D25</f>
        <v>39111501</v>
      </c>
      <c r="E44" s="21" t="n">
        <f aca="false">E7</f>
        <v>858</v>
      </c>
      <c r="F44" s="20" t="n">
        <f aca="false">D44/E44</f>
        <v>45584.5</v>
      </c>
      <c r="G44" s="22" t="n">
        <f aca="false">F44/C44</f>
        <v>0.141646831438888</v>
      </c>
      <c r="H44" s="20" t="n">
        <f aca="false">H7+H25</f>
        <v>1867230</v>
      </c>
      <c r="I44" s="23" t="n">
        <f aca="false">F44/H44</f>
        <v>0.0244129003925601</v>
      </c>
      <c r="J44" s="24" t="n">
        <f aca="false">C44/H44</f>
        <v>0.172350487085148</v>
      </c>
    </row>
    <row r="45" customFormat="false" ht="14.25" hidden="false" customHeight="false" outlineLevel="0" collapsed="false">
      <c r="B45" s="64" t="s">
        <v>25</v>
      </c>
      <c r="C45" s="20" t="n">
        <f aca="false">C8+C26</f>
        <v>315823</v>
      </c>
      <c r="D45" s="20" t="n">
        <f aca="false">D8+D26</f>
        <v>38610072</v>
      </c>
      <c r="E45" s="21" t="n">
        <f aca="false">E8</f>
        <v>888</v>
      </c>
      <c r="F45" s="20" t="n">
        <f aca="false">D45/E45</f>
        <v>43479.8108108108</v>
      </c>
      <c r="G45" s="22" t="n">
        <f aca="false">F45/C45</f>
        <v>0.137671451448472</v>
      </c>
      <c r="H45" s="20" t="n">
        <f aca="false">H8+H26</f>
        <v>2036899</v>
      </c>
      <c r="I45" s="23" t="n">
        <f aca="false">F45/H45</f>
        <v>0.0213460808860974</v>
      </c>
      <c r="J45" s="24" t="n">
        <f aca="false">C45/H45</f>
        <v>0.155050888630217</v>
      </c>
    </row>
    <row r="46" customFormat="false" ht="14.25" hidden="false" customHeight="false" outlineLevel="0" collapsed="false">
      <c r="B46" s="64" t="s">
        <v>26</v>
      </c>
      <c r="C46" s="20" t="n">
        <f aca="false">C9+C27</f>
        <v>372057</v>
      </c>
      <c r="D46" s="20" t="n">
        <f aca="false">D9+D27</f>
        <v>43290571</v>
      </c>
      <c r="E46" s="21" t="n">
        <f aca="false">E9</f>
        <v>906</v>
      </c>
      <c r="F46" s="20" t="n">
        <f aca="false">D46/E46</f>
        <v>47782.087196468</v>
      </c>
      <c r="G46" s="22" t="n">
        <f aca="false">F46/C46</f>
        <v>0.128426792659372</v>
      </c>
      <c r="H46" s="20" t="n">
        <f aca="false">H9+H27</f>
        <v>3172155</v>
      </c>
      <c r="I46" s="23" t="n">
        <f aca="false">F46/H46</f>
        <v>0.0150629736555963</v>
      </c>
      <c r="J46" s="24" t="n">
        <f aca="false">C46/H46</f>
        <v>0.117288404885638</v>
      </c>
    </row>
    <row r="47" customFormat="false" ht="14.25" hidden="false" customHeight="false" outlineLevel="0" collapsed="false">
      <c r="B47" s="64" t="s">
        <v>27</v>
      </c>
      <c r="C47" s="20" t="n">
        <f aca="false">C10+C28</f>
        <v>253598</v>
      </c>
      <c r="D47" s="20" t="n">
        <f aca="false">D10+D28</f>
        <v>48512783</v>
      </c>
      <c r="E47" s="21" t="n">
        <f aca="false">E10</f>
        <v>923</v>
      </c>
      <c r="F47" s="20" t="n">
        <f aca="false">D47/E47</f>
        <v>52559.894907909</v>
      </c>
      <c r="G47" s="22" t="n">
        <f aca="false">F47/C47</f>
        <v>0.207256740620624</v>
      </c>
      <c r="H47" s="20" t="n">
        <f aca="false">H10+H28</f>
        <v>1753677</v>
      </c>
      <c r="I47" s="23" t="n">
        <f aca="false">F47/H47</f>
        <v>0.029971251780065</v>
      </c>
      <c r="J47" s="24" t="n">
        <f aca="false">C47/H47</f>
        <v>0.14460929806344</v>
      </c>
    </row>
    <row r="48" customFormat="false" ht="14.25" hidden="false" customHeight="false" outlineLevel="0" collapsed="false">
      <c r="B48" s="64" t="s">
        <v>28</v>
      </c>
      <c r="C48" s="20" t="n">
        <f aca="false">C11+C29</f>
        <v>385292</v>
      </c>
      <c r="D48" s="20" t="n">
        <f aca="false">D11+D29</f>
        <v>55564443</v>
      </c>
      <c r="E48" s="21" t="n">
        <f aca="false">E11</f>
        <v>942</v>
      </c>
      <c r="F48" s="20" t="n">
        <f aca="false">D48/E48</f>
        <v>58985.6082802548</v>
      </c>
      <c r="G48" s="22" t="n">
        <f aca="false">F48/C48</f>
        <v>0.153093259865906</v>
      </c>
      <c r="H48" s="20" t="n">
        <f aca="false">H11+H29</f>
        <v>2608832</v>
      </c>
      <c r="I48" s="23" t="n">
        <f aca="false">F48/H48</f>
        <v>0.0226099680930987</v>
      </c>
      <c r="J48" s="24" t="n">
        <f aca="false">C48/H48</f>
        <v>0.147687547530849</v>
      </c>
    </row>
    <row r="49" customFormat="false" ht="14.25" hidden="false" customHeight="false" outlineLevel="0" collapsed="false">
      <c r="B49" s="64" t="s">
        <v>29</v>
      </c>
      <c r="C49" s="20" t="n">
        <f aca="false">C12+C30</f>
        <v>375162</v>
      </c>
      <c r="D49" s="20" t="n">
        <f aca="false">D12+D30</f>
        <v>56474576</v>
      </c>
      <c r="E49" s="21" t="n">
        <f aca="false">E12</f>
        <v>961</v>
      </c>
      <c r="F49" s="20" t="n">
        <f aca="false">D49/E49</f>
        <v>58766.4682622268</v>
      </c>
      <c r="G49" s="22" t="n">
        <f aca="false">F49/C49</f>
        <v>0.156642912294494</v>
      </c>
      <c r="H49" s="20" t="n">
        <f aca="false">H12+H30</f>
        <v>1418892</v>
      </c>
      <c r="I49" s="23" t="n">
        <f aca="false">F49/H49</f>
        <v>0.0414171538511929</v>
      </c>
      <c r="J49" s="24" t="n">
        <f aca="false">C49/H49</f>
        <v>0.264404901852995</v>
      </c>
    </row>
    <row r="50" customFormat="false" ht="14.25" hidden="false" customHeight="false" outlineLevel="0" collapsed="false">
      <c r="B50" s="64" t="s">
        <v>30</v>
      </c>
      <c r="C50" s="20" t="n">
        <f aca="false">C13+C31</f>
        <v>317159</v>
      </c>
      <c r="D50" s="20" t="n">
        <f aca="false">D13+D31</f>
        <v>53742606</v>
      </c>
      <c r="E50" s="21" t="n">
        <f aca="false">E13</f>
        <v>991</v>
      </c>
      <c r="F50" s="20" t="n">
        <f aca="false">D50/E50</f>
        <v>54230.6821392533</v>
      </c>
      <c r="G50" s="22" t="n">
        <f aca="false">F50/C50</f>
        <v>0.170988942893796</v>
      </c>
      <c r="H50" s="20" t="n">
        <f aca="false">H13+H31</f>
        <v>2226349</v>
      </c>
      <c r="I50" s="23" t="n">
        <f aca="false">F50/H50</f>
        <v>0.0243585718767602</v>
      </c>
      <c r="J50" s="24" t="n">
        <f aca="false">C50/H50</f>
        <v>0.142457000227727</v>
      </c>
    </row>
    <row r="51" customFormat="false" ht="14.25" hidden="false" customHeight="false" outlineLevel="0" collapsed="false">
      <c r="B51" s="64" t="s">
        <v>31</v>
      </c>
      <c r="C51" s="20" t="n">
        <f aca="false">C14+C32</f>
        <v>379667</v>
      </c>
      <c r="D51" s="20" t="n">
        <f aca="false">D14+D32</f>
        <v>73431352</v>
      </c>
      <c r="E51" s="21" t="n">
        <f aca="false">E14</f>
        <v>972</v>
      </c>
      <c r="F51" s="20" t="n">
        <f aca="false">D51/E51</f>
        <v>75546.658436214</v>
      </c>
      <c r="G51" s="22" t="n">
        <f aca="false">F51/C51</f>
        <v>0.198981366397959</v>
      </c>
      <c r="H51" s="20" t="n">
        <f aca="false">H14+H32</f>
        <v>2900956</v>
      </c>
      <c r="I51" s="23" t="n">
        <f aca="false">F51/H51</f>
        <v>0.0260419869988425</v>
      </c>
      <c r="J51" s="24" t="n">
        <f aca="false">C51/H51</f>
        <v>0.130876511053598</v>
      </c>
    </row>
    <row r="52" customFormat="false" ht="14.25" hidden="false" customHeight="false" outlineLevel="0" collapsed="false">
      <c r="B52" s="64" t="s">
        <v>32</v>
      </c>
      <c r="C52" s="20" t="n">
        <f aca="false">C15+C33</f>
        <v>414311</v>
      </c>
      <c r="D52" s="20" t="n">
        <f aca="false">D15+D33</f>
        <v>68666518</v>
      </c>
      <c r="E52" s="21" t="n">
        <f aca="false">E15</f>
        <v>979</v>
      </c>
      <c r="F52" s="20" t="n">
        <f aca="false">D52/E52</f>
        <v>70139.4463738509</v>
      </c>
      <c r="G52" s="22" t="n">
        <f aca="false">F52/C52</f>
        <v>0.169291779300697</v>
      </c>
      <c r="H52" s="20" t="n">
        <f aca="false">H15+H33</f>
        <v>2983737</v>
      </c>
      <c r="I52" s="23" t="n">
        <f aca="false">F52/H52</f>
        <v>0.0235072482507174</v>
      </c>
      <c r="J52" s="24" t="n">
        <f aca="false">C52/H52</f>
        <v>0.138856407250371</v>
      </c>
    </row>
    <row r="53" customFormat="false" ht="14.25" hidden="false" customHeight="false" outlineLevel="0" collapsed="false">
      <c r="B53" s="64" t="s">
        <v>33</v>
      </c>
      <c r="C53" s="20" t="n">
        <f aca="false">C16+C34</f>
        <v>236214</v>
      </c>
      <c r="D53" s="20" t="n">
        <f aca="false">D16+D34</f>
        <v>51519776</v>
      </c>
      <c r="E53" s="21" t="n">
        <f aca="false">E16</f>
        <v>1002</v>
      </c>
      <c r="F53" s="20" t="n">
        <f aca="false">D53/E53</f>
        <v>51416.9421157685</v>
      </c>
      <c r="G53" s="22" t="n">
        <f aca="false">F53/C53</f>
        <v>0.217671019142678</v>
      </c>
      <c r="H53" s="20" t="n">
        <f aca="false">H16+H34</f>
        <v>1075433</v>
      </c>
      <c r="I53" s="23" t="n">
        <f aca="false">F53/H53</f>
        <v>0.0478104559891397</v>
      </c>
      <c r="J53" s="24" t="n">
        <f aca="false">C53/H53</f>
        <v>0.219645482331303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4018196</v>
      </c>
      <c r="D55" s="26"/>
      <c r="E55" s="26"/>
      <c r="F55" s="26" t="n">
        <f aca="false">SUM(F42:F53)</f>
        <v>628331.642476708</v>
      </c>
      <c r="G55" s="26"/>
      <c r="H55" s="26" t="n">
        <f aca="false">SUM(H42:H53)</f>
        <v>27246279</v>
      </c>
    </row>
    <row r="56" customFormat="false" ht="14.25" hidden="false" customHeight="false" outlineLevel="0" collapsed="false">
      <c r="B56" s="71" t="s">
        <v>35</v>
      </c>
      <c r="C56" s="72"/>
      <c r="D56" s="72"/>
      <c r="E56" s="72"/>
      <c r="F56" s="73" t="n">
        <f aca="false">AVERAGE(F42:F53)</f>
        <v>52360.9702063923</v>
      </c>
      <c r="G56" s="74" t="n">
        <f aca="false">(G42*F42+G43*F43+G44*F44+G45*F45+G46*F46+G47*F47+G48*F48+G49*F49+G50*F50+G51*F51+G52*F52+G53*F53)/F55</f>
        <v>0.163416250072272</v>
      </c>
      <c r="H56" s="75"/>
      <c r="I56" s="74" t="n">
        <f aca="false">(I42*H42+I43*H43+I44*H44+I45*H45+I46*H46+I47*H47+I48*H48+I49*H49+I50*H50+H51*I51+H52*I52+H53*I53)/H55</f>
        <v>0.0230611909419524</v>
      </c>
      <c r="J56" s="74" t="n">
        <f aca="false">(J42*H42+J43*H43+J44*H44+J45*H45+J46*H46+J47*H47+J48*J48+J49*H49+J50*H50+J51*H51+J52*H52+J53*H53)/H55</f>
        <v>0.133335785844798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M15" activeCellId="0" sqref="M15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1.89"/>
    <col collapsed="false" customWidth="true" hidden="false" outlineLevel="0" max="10" min="10" style="0" width="11.33"/>
    <col collapsed="false" customWidth="true" hidden="false" outlineLevel="0" max="12" min="12" style="0" width="13.56"/>
  </cols>
  <sheetData>
    <row r="1" customFormat="false" ht="19.7" hidden="false" customHeight="false" outlineLevel="0" collapsed="false">
      <c r="B1" s="76" t="n">
        <v>2024</v>
      </c>
    </row>
    <row r="2" customFormat="false" ht="17.35" hidden="false" customHeight="false" outlineLevel="0" collapsed="false">
      <c r="B2" s="77" t="s">
        <v>44</v>
      </c>
      <c r="C2" s="61"/>
      <c r="D2" s="61"/>
      <c r="L2" s="78"/>
    </row>
    <row r="3" customFormat="false" ht="14.25" hidden="false" customHeight="false" outlineLevel="0" collapsed="false">
      <c r="B3" s="51" t="s">
        <v>41</v>
      </c>
    </row>
    <row r="4" customFormat="false" ht="14.25" hidden="false" customHeight="false" outlineLevel="0" collapsed="false">
      <c r="C4" s="16" t="s">
        <v>57</v>
      </c>
      <c r="L4" s="16"/>
    </row>
    <row r="5" customFormat="false" ht="14.25" hidden="false" customHeight="false" outlineLevel="0" collapsed="false">
      <c r="B5" s="16" t="s">
        <v>22</v>
      </c>
      <c r="C5" s="46" t="n">
        <f aca="false">datos24!C42</f>
        <v>298108</v>
      </c>
      <c r="L5" s="79"/>
    </row>
    <row r="6" customFormat="false" ht="14.25" hidden="false" customHeight="false" outlineLevel="0" collapsed="false">
      <c r="B6" s="16" t="s">
        <v>23</v>
      </c>
      <c r="C6" s="46" t="n">
        <f aca="false">datos24!C43</f>
        <v>348987</v>
      </c>
      <c r="L6" s="79"/>
    </row>
    <row r="7" customFormat="false" ht="14.25" hidden="false" customHeight="false" outlineLevel="0" collapsed="false">
      <c r="B7" s="16" t="s">
        <v>24</v>
      </c>
      <c r="C7" s="46" t="n">
        <f aca="false">datos24!C44</f>
        <v>321818</v>
      </c>
      <c r="L7" s="79"/>
    </row>
    <row r="8" customFormat="false" ht="14.25" hidden="false" customHeight="false" outlineLevel="0" collapsed="false">
      <c r="B8" s="16" t="s">
        <v>25</v>
      </c>
      <c r="C8" s="46" t="n">
        <f aca="false">datos24!C45</f>
        <v>315823</v>
      </c>
      <c r="L8" s="47"/>
    </row>
    <row r="9" customFormat="false" ht="14.25" hidden="false" customHeight="false" outlineLevel="0" collapsed="false">
      <c r="B9" s="16" t="s">
        <v>26</v>
      </c>
      <c r="C9" s="46" t="n">
        <f aca="false">datos24!C46</f>
        <v>372057</v>
      </c>
      <c r="L9" s="47"/>
    </row>
    <row r="10" customFormat="false" ht="14.25" hidden="false" customHeight="false" outlineLevel="0" collapsed="false">
      <c r="B10" s="16" t="s">
        <v>27</v>
      </c>
      <c r="C10" s="46" t="n">
        <f aca="false">datos24!C47</f>
        <v>253598</v>
      </c>
      <c r="L10" s="47"/>
    </row>
    <row r="11" customFormat="false" ht="14.25" hidden="false" customHeight="false" outlineLevel="0" collapsed="false">
      <c r="B11" s="16" t="s">
        <v>28</v>
      </c>
      <c r="C11" s="46" t="n">
        <f aca="false">datos24!C48</f>
        <v>385292</v>
      </c>
      <c r="L11" s="47"/>
    </row>
    <row r="12" customFormat="false" ht="14.25" hidden="false" customHeight="false" outlineLevel="0" collapsed="false">
      <c r="B12" s="16" t="s">
        <v>29</v>
      </c>
      <c r="C12" s="46" t="n">
        <f aca="false">datos24!C49</f>
        <v>375162</v>
      </c>
      <c r="L12" s="47"/>
    </row>
    <row r="13" customFormat="false" ht="14.25" hidden="false" customHeight="false" outlineLevel="0" collapsed="false">
      <c r="B13" s="16" t="s">
        <v>30</v>
      </c>
      <c r="C13" s="46" t="n">
        <f aca="false">datos24!C50</f>
        <v>317159</v>
      </c>
      <c r="L13" s="47"/>
    </row>
    <row r="14" customFormat="false" ht="14.25" hidden="false" customHeight="false" outlineLevel="0" collapsed="false">
      <c r="B14" s="16" t="s">
        <v>31</v>
      </c>
      <c r="C14" s="46" t="n">
        <f aca="false">datos24!C51</f>
        <v>379667</v>
      </c>
      <c r="L14" s="47"/>
    </row>
    <row r="15" customFormat="false" ht="14.25" hidden="false" customHeight="false" outlineLevel="0" collapsed="false">
      <c r="B15" s="16" t="s">
        <v>32</v>
      </c>
      <c r="C15" s="46" t="n">
        <f aca="false">datos24!C52</f>
        <v>414311</v>
      </c>
      <c r="L15" s="47"/>
    </row>
    <row r="16" customFormat="false" ht="14.25" hidden="false" customHeight="false" outlineLevel="0" collapsed="false">
      <c r="B16" s="16" t="s">
        <v>33</v>
      </c>
      <c r="C16" s="46" t="n">
        <f aca="false">datos24!C53</f>
        <v>236214</v>
      </c>
      <c r="L16" s="47"/>
    </row>
    <row r="17" customFormat="false" ht="14.25" hidden="false" customHeight="false" outlineLevel="0" collapsed="false">
      <c r="B17" s="67" t="s">
        <v>40</v>
      </c>
      <c r="C17" s="80" t="n">
        <f aca="false">AVERAGE(C5:C16)</f>
        <v>334849.666666667</v>
      </c>
      <c r="L17" s="81"/>
    </row>
    <row r="19" customFormat="false" ht="17.35" hidden="false" customHeight="false" outlineLevel="0" collapsed="false">
      <c r="B19" s="77" t="s">
        <v>48</v>
      </c>
      <c r="C19" s="61"/>
      <c r="D19" s="61"/>
      <c r="E19" s="61"/>
      <c r="F19" s="61"/>
      <c r="L19" s="78"/>
    </row>
    <row r="20" customFormat="false" ht="14.25" hidden="false" customHeight="false" outlineLevel="0" collapsed="false">
      <c r="C20" s="16" t="s">
        <v>18</v>
      </c>
      <c r="L20" s="16"/>
    </row>
    <row r="21" customFormat="false" ht="14.25" hidden="false" customHeight="false" outlineLevel="0" collapsed="false">
      <c r="B21" s="16" t="s">
        <v>22</v>
      </c>
      <c r="C21" s="52" t="n">
        <f aca="false">datos24!G42</f>
        <v>0.0973057139328281</v>
      </c>
      <c r="L21" s="53"/>
    </row>
    <row r="22" customFormat="false" ht="14.25" hidden="false" customHeight="false" outlineLevel="0" collapsed="false">
      <c r="B22" s="16" t="s">
        <v>23</v>
      </c>
      <c r="C22" s="52" t="n">
        <f aca="false">datos24!G43</f>
        <v>0.117001298572336</v>
      </c>
      <c r="L22" s="53"/>
    </row>
    <row r="23" customFormat="false" ht="14.25" hidden="false" customHeight="false" outlineLevel="0" collapsed="false">
      <c r="B23" s="16" t="s">
        <v>24</v>
      </c>
      <c r="C23" s="52" t="n">
        <f aca="false">datos24!G44</f>
        <v>0.141646831438888</v>
      </c>
      <c r="L23" s="53"/>
    </row>
    <row r="24" customFormat="false" ht="14.25" hidden="false" customHeight="false" outlineLevel="0" collapsed="false">
      <c r="B24" s="16" t="s">
        <v>25</v>
      </c>
      <c r="C24" s="52" t="n">
        <f aca="false">datos24!G45</f>
        <v>0.137671451448472</v>
      </c>
      <c r="L24" s="53"/>
    </row>
    <row r="25" customFormat="false" ht="14.25" hidden="false" customHeight="false" outlineLevel="0" collapsed="false">
      <c r="B25" s="16" t="s">
        <v>26</v>
      </c>
      <c r="C25" s="52" t="n">
        <f aca="false">datos24!G46</f>
        <v>0.128426792659372</v>
      </c>
      <c r="L25" s="53"/>
    </row>
    <row r="26" customFormat="false" ht="14.25" hidden="false" customHeight="false" outlineLevel="0" collapsed="false">
      <c r="B26" s="16" t="s">
        <v>27</v>
      </c>
      <c r="C26" s="52" t="n">
        <f aca="false">datos24!G47</f>
        <v>0.207256740620624</v>
      </c>
      <c r="L26" s="53"/>
    </row>
    <row r="27" customFormat="false" ht="14.25" hidden="false" customHeight="false" outlineLevel="0" collapsed="false">
      <c r="B27" s="16" t="s">
        <v>28</v>
      </c>
      <c r="C27" s="52" t="n">
        <f aca="false">datos24!G48</f>
        <v>0.153093259865906</v>
      </c>
      <c r="L27" s="53"/>
    </row>
    <row r="28" customFormat="false" ht="14.25" hidden="false" customHeight="false" outlineLevel="0" collapsed="false">
      <c r="B28" s="16" t="s">
        <v>29</v>
      </c>
      <c r="C28" s="52" t="n">
        <f aca="false">datos24!G49</f>
        <v>0.156642912294494</v>
      </c>
      <c r="L28" s="53"/>
    </row>
    <row r="29" customFormat="false" ht="14.25" hidden="false" customHeight="false" outlineLevel="0" collapsed="false">
      <c r="B29" s="16" t="s">
        <v>30</v>
      </c>
      <c r="C29" s="52" t="n">
        <f aca="false">datos24!G50</f>
        <v>0.170988942893796</v>
      </c>
      <c r="L29" s="53"/>
    </row>
    <row r="30" customFormat="false" ht="14.25" hidden="false" customHeight="false" outlineLevel="0" collapsed="false">
      <c r="B30" s="16" t="s">
        <v>31</v>
      </c>
      <c r="C30" s="52" t="n">
        <f aca="false">datos24!G51</f>
        <v>0.198981366397959</v>
      </c>
      <c r="L30" s="53"/>
    </row>
    <row r="31" customFormat="false" ht="14.25" hidden="false" customHeight="false" outlineLevel="0" collapsed="false">
      <c r="B31" s="16" t="s">
        <v>32</v>
      </c>
      <c r="C31" s="52" t="n">
        <f aca="false">datos24!G52</f>
        <v>0.169291779300697</v>
      </c>
      <c r="L31" s="53"/>
    </row>
    <row r="32" customFormat="false" ht="14.25" hidden="false" customHeight="false" outlineLevel="0" collapsed="false">
      <c r="B32" s="16" t="s">
        <v>33</v>
      </c>
      <c r="C32" s="52" t="n">
        <f aca="false">datos24!G53</f>
        <v>0.217671019142678</v>
      </c>
      <c r="L32" s="53"/>
    </row>
    <row r="33" customFormat="false" ht="14.25" hidden="false" customHeight="false" outlineLevel="0" collapsed="false">
      <c r="A33" s="61"/>
      <c r="B33" s="82" t="s">
        <v>50</v>
      </c>
      <c r="C33" s="83" t="n">
        <f aca="false">datos24!G19</f>
        <v>0.133379682423305</v>
      </c>
      <c r="L33" s="83"/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77" t="s">
        <v>52</v>
      </c>
      <c r="C35" s="61"/>
      <c r="L35" s="78"/>
    </row>
    <row r="36" customFormat="false" ht="14.25" hidden="false" customHeight="false" outlineLevel="0" collapsed="false">
      <c r="B36" s="61"/>
      <c r="C36" s="67" t="s">
        <v>20</v>
      </c>
      <c r="L36" s="16"/>
    </row>
    <row r="37" customFormat="false" ht="14.25" hidden="false" customHeight="false" outlineLevel="0" collapsed="false">
      <c r="B37" s="16" t="s">
        <v>22</v>
      </c>
      <c r="C37" s="52" t="n">
        <f aca="false">datos24!I42</f>
        <v>0.0130853476559635</v>
      </c>
      <c r="L37" s="52"/>
    </row>
    <row r="38" customFormat="false" ht="14.25" hidden="false" customHeight="false" outlineLevel="0" collapsed="false">
      <c r="B38" s="16" t="s">
        <v>23</v>
      </c>
      <c r="C38" s="52" t="n">
        <f aca="false">datos24!I43</f>
        <v>0.0136775821486569</v>
      </c>
      <c r="L38" s="52"/>
    </row>
    <row r="39" customFormat="false" ht="14.25" hidden="false" customHeight="false" outlineLevel="0" collapsed="false">
      <c r="B39" s="16" t="s">
        <v>24</v>
      </c>
      <c r="C39" s="52" t="n">
        <f aca="false">datos24!I44</f>
        <v>0.0244129003925601</v>
      </c>
      <c r="L39" s="52"/>
    </row>
    <row r="40" customFormat="false" ht="14.25" hidden="false" customHeight="false" outlineLevel="0" collapsed="false">
      <c r="B40" s="16" t="s">
        <v>25</v>
      </c>
      <c r="C40" s="52" t="n">
        <f aca="false">datos24!I45</f>
        <v>0.0213460808860974</v>
      </c>
      <c r="L40" s="52"/>
    </row>
    <row r="41" customFormat="false" ht="14.25" hidden="false" customHeight="false" outlineLevel="0" collapsed="false">
      <c r="B41" s="16" t="s">
        <v>26</v>
      </c>
      <c r="C41" s="52" t="n">
        <f aca="false">datos24!I46</f>
        <v>0.0150629736555963</v>
      </c>
      <c r="L41" s="52"/>
    </row>
    <row r="42" customFormat="false" ht="14.25" hidden="false" customHeight="false" outlineLevel="0" collapsed="false">
      <c r="B42" s="16" t="s">
        <v>27</v>
      </c>
      <c r="C42" s="52" t="n">
        <f aca="false">datos24!I47</f>
        <v>0.029971251780065</v>
      </c>
      <c r="L42" s="52"/>
    </row>
    <row r="43" customFormat="false" ht="14.25" hidden="false" customHeight="false" outlineLevel="0" collapsed="false">
      <c r="B43" s="16" t="s">
        <v>28</v>
      </c>
      <c r="C43" s="52" t="n">
        <f aca="false">datos24!I48</f>
        <v>0.0226099680930987</v>
      </c>
      <c r="L43" s="52"/>
    </row>
    <row r="44" customFormat="false" ht="14.25" hidden="false" customHeight="false" outlineLevel="0" collapsed="false">
      <c r="B44" s="16" t="s">
        <v>29</v>
      </c>
      <c r="C44" s="52" t="n">
        <f aca="false">datos24!I49</f>
        <v>0.0414171538511929</v>
      </c>
      <c r="L44" s="52"/>
    </row>
    <row r="45" customFormat="false" ht="14.25" hidden="false" customHeight="false" outlineLevel="0" collapsed="false">
      <c r="B45" s="16" t="s">
        <v>30</v>
      </c>
      <c r="C45" s="52" t="n">
        <f aca="false">datos24!I50</f>
        <v>0.0243585718767602</v>
      </c>
      <c r="L45" s="52"/>
    </row>
    <row r="46" customFormat="false" ht="14.25" hidden="false" customHeight="false" outlineLevel="0" collapsed="false">
      <c r="B46" s="16" t="s">
        <v>31</v>
      </c>
      <c r="C46" s="52" t="n">
        <f aca="false">datos24!I51</f>
        <v>0.0260419869988425</v>
      </c>
      <c r="L46" s="52"/>
    </row>
    <row r="47" customFormat="false" ht="14.25" hidden="false" customHeight="false" outlineLevel="0" collapsed="false">
      <c r="B47" s="16" t="s">
        <v>32</v>
      </c>
      <c r="C47" s="52" t="n">
        <f aca="false">datos24!I52</f>
        <v>0.0235072482507174</v>
      </c>
      <c r="L47" s="52"/>
    </row>
    <row r="48" customFormat="false" ht="14.25" hidden="false" customHeight="false" outlineLevel="0" collapsed="false">
      <c r="B48" s="16" t="s">
        <v>33</v>
      </c>
      <c r="C48" s="52" t="n">
        <f aca="false">datos24!I53</f>
        <v>0.0478104559891397</v>
      </c>
      <c r="L48" s="52"/>
    </row>
    <row r="49" customFormat="false" ht="14.25" hidden="false" customHeight="false" outlineLevel="0" collapsed="false">
      <c r="A49" s="61"/>
      <c r="B49" s="82" t="s">
        <v>50</v>
      </c>
      <c r="C49" s="83" t="n">
        <f aca="false">datos24!I19</f>
        <v>0.0188262412384559</v>
      </c>
      <c r="L49" s="83"/>
    </row>
    <row r="51" customFormat="false" ht="18" hidden="false" customHeight="false" outlineLevel="0" collapsed="false">
      <c r="B51" s="77"/>
      <c r="C51" s="61"/>
      <c r="D51" s="61"/>
      <c r="E51" s="69"/>
      <c r="F51" s="84"/>
      <c r="L51" s="61"/>
    </row>
    <row r="52" customFormat="false" ht="14.25" hidden="false" customHeight="false" outlineLevel="0" collapsed="false">
      <c r="C52" s="16"/>
      <c r="L52" s="16"/>
    </row>
    <row r="53" customFormat="false" ht="14.25" hidden="false" customHeight="false" outlineLevel="0" collapsed="false">
      <c r="B53" s="16"/>
      <c r="C53" s="46"/>
      <c r="L53" s="46"/>
    </row>
    <row r="54" customFormat="false" ht="14.25" hidden="false" customHeight="false" outlineLevel="0" collapsed="false">
      <c r="B54" s="16"/>
      <c r="C54" s="46"/>
      <c r="L54" s="46"/>
    </row>
    <row r="55" customFormat="false" ht="14.25" hidden="false" customHeight="false" outlineLevel="0" collapsed="false">
      <c r="B55" s="16"/>
      <c r="C55" s="46"/>
      <c r="L55" s="46"/>
    </row>
    <row r="56" customFormat="false" ht="14.25" hidden="false" customHeight="false" outlineLevel="0" collapsed="false">
      <c r="B56" s="16"/>
      <c r="C56" s="46"/>
      <c r="L56" s="46"/>
    </row>
    <row r="57" customFormat="false" ht="14.25" hidden="false" customHeight="false" outlineLevel="0" collapsed="false">
      <c r="B57" s="16"/>
      <c r="C57" s="46"/>
      <c r="L57" s="46"/>
    </row>
    <row r="58" customFormat="false" ht="14.25" hidden="false" customHeight="false" outlineLevel="0" collapsed="false">
      <c r="B58" s="16"/>
      <c r="C58" s="46"/>
      <c r="L58" s="46"/>
    </row>
    <row r="59" customFormat="false" ht="14.25" hidden="false" customHeight="false" outlineLevel="0" collapsed="false">
      <c r="B59" s="16"/>
      <c r="C59" s="46"/>
      <c r="L59" s="46"/>
    </row>
    <row r="60" customFormat="false" ht="14.25" hidden="false" customHeight="false" outlineLevel="0" collapsed="false">
      <c r="B60" s="16"/>
      <c r="C60" s="46"/>
      <c r="L60" s="46"/>
    </row>
    <row r="61" customFormat="false" ht="14.25" hidden="false" customHeight="false" outlineLevel="0" collapsed="false">
      <c r="B61" s="16"/>
      <c r="C61" s="46"/>
      <c r="L61" s="46"/>
    </row>
    <row r="62" customFormat="false" ht="14.25" hidden="false" customHeight="false" outlineLevel="0" collapsed="false">
      <c r="B62" s="16"/>
      <c r="C62" s="46"/>
      <c r="L62" s="46"/>
    </row>
    <row r="63" customFormat="false" ht="14.25" hidden="false" customHeight="false" outlineLevel="0" collapsed="false">
      <c r="B63" s="16"/>
      <c r="C63" s="46"/>
      <c r="L63" s="46"/>
    </row>
    <row r="64" customFormat="false" ht="14.25" hidden="false" customHeight="false" outlineLevel="0" collapsed="false">
      <c r="B64" s="16"/>
      <c r="C64" s="46"/>
      <c r="L64" s="46"/>
    </row>
    <row r="65" customFormat="false" ht="14.25" hidden="false" customHeight="false" outlineLevel="0" collapsed="false">
      <c r="B65" s="54"/>
      <c r="C65" s="49"/>
      <c r="L65" s="49"/>
    </row>
    <row r="66" customFormat="false" ht="14.25" hidden="false" customHeight="false" outlineLevel="0" collapsed="false">
      <c r="B66" s="82"/>
      <c r="C66" s="80"/>
      <c r="L66" s="8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8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L55" activeCellId="0" sqref="L55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1.55"/>
    <col collapsed="false" customWidth="true" hidden="false" outlineLevel="0" max="3" min="3" style="0" width="9.66"/>
    <col collapsed="false" customWidth="true" hidden="false" outlineLevel="0" max="7" min="4" style="0" width="10.67"/>
    <col collapsed="false" customWidth="true" hidden="false" outlineLevel="0" max="8" min="8" style="0" width="13.89"/>
    <col collapsed="false" customWidth="true" hidden="false" outlineLevel="0" max="9" min="9" style="0" width="13.11"/>
    <col collapsed="false" customWidth="true" hidden="false" outlineLevel="0" max="11" min="11" style="0" width="15.22"/>
    <col collapsed="false" customWidth="true" hidden="false" outlineLevel="0" max="17" min="17" style="0" width="13.66"/>
  </cols>
  <sheetData>
    <row r="2" customFormat="false" ht="14.25" hidden="false" customHeight="false" outlineLevel="0" collapsed="false">
      <c r="B2" s="85" t="s">
        <v>58</v>
      </c>
      <c r="C2" s="86"/>
    </row>
    <row r="3" customFormat="false" ht="14.25" hidden="false" customHeight="false" outlineLevel="0" collapsed="false">
      <c r="B3" s="2" t="s">
        <v>13</v>
      </c>
      <c r="C3" s="16" t="n">
        <v>4156946</v>
      </c>
      <c r="D3" s="87" t="s">
        <v>59</v>
      </c>
      <c r="G3" s="87" t="s">
        <v>60</v>
      </c>
    </row>
    <row r="4" customFormat="false" ht="14.25" hidden="false" customHeight="false" outlineLevel="0" collapsed="false">
      <c r="B4" s="88"/>
      <c r="C4" s="89" t="s">
        <v>14</v>
      </c>
      <c r="D4" s="89" t="s">
        <v>15</v>
      </c>
      <c r="E4" s="89" t="s">
        <v>16</v>
      </c>
      <c r="F4" s="89" t="s">
        <v>17</v>
      </c>
      <c r="G4" s="89" t="s">
        <v>18</v>
      </c>
      <c r="H4" s="89" t="s">
        <v>19</v>
      </c>
      <c r="I4" s="89" t="s">
        <v>20</v>
      </c>
      <c r="J4" s="89" t="s">
        <v>21</v>
      </c>
      <c r="K4" s="90" t="s">
        <v>61</v>
      </c>
    </row>
    <row r="5" customFormat="false" ht="14.25" hidden="false" customHeight="false" outlineLevel="0" collapsed="false">
      <c r="B5" s="91" t="s">
        <v>22</v>
      </c>
      <c r="C5" s="20" t="n">
        <v>148340</v>
      </c>
      <c r="D5" s="20" t="n">
        <v>30891849</v>
      </c>
      <c r="E5" s="21" t="n">
        <v>1074</v>
      </c>
      <c r="F5" s="20" t="n">
        <f aca="false">D5/E5</f>
        <v>28763.3603351955</v>
      </c>
      <c r="G5" s="22" t="n">
        <f aca="false">F5/C5</f>
        <v>0.193901579716837</v>
      </c>
      <c r="H5" s="20" t="n">
        <v>365645</v>
      </c>
      <c r="I5" s="23" t="n">
        <f aca="false">F5/H5</f>
        <v>0.078664716692955</v>
      </c>
      <c r="J5" s="24" t="n">
        <f aca="false">C5/H5</f>
        <v>0.405694047505094</v>
      </c>
      <c r="K5" s="17"/>
    </row>
    <row r="6" customFormat="false" ht="14.25" hidden="false" customHeight="false" outlineLevel="0" collapsed="false">
      <c r="B6" s="91" t="s">
        <v>23</v>
      </c>
      <c r="C6" s="20" t="n">
        <v>161773</v>
      </c>
      <c r="D6" s="20" t="n">
        <v>35294347</v>
      </c>
      <c r="E6" s="21" t="n">
        <v>1084</v>
      </c>
      <c r="F6" s="20" t="n">
        <f aca="false">D6/E6</f>
        <v>32559.360701107</v>
      </c>
      <c r="G6" s="22" t="n">
        <f aca="false">F6/C6</f>
        <v>0.201265728527672</v>
      </c>
      <c r="H6" s="20" t="n">
        <v>419403</v>
      </c>
      <c r="I6" s="23" t="n">
        <f aca="false">F6/H6</f>
        <v>0.0776326366313713</v>
      </c>
      <c r="J6" s="24" t="n">
        <f aca="false">C6/H6</f>
        <v>0.385722085917364</v>
      </c>
      <c r="K6" s="17"/>
    </row>
    <row r="7" customFormat="false" ht="14.25" hidden="false" customHeight="false" outlineLevel="0" collapsed="false">
      <c r="B7" s="91" t="s">
        <v>24</v>
      </c>
      <c r="C7" s="20" t="n">
        <v>151287</v>
      </c>
      <c r="D7" s="20" t="n">
        <v>36118133</v>
      </c>
      <c r="E7" s="21" t="n">
        <v>1094</v>
      </c>
      <c r="F7" s="20" t="n">
        <f aca="false">D7/E7</f>
        <v>33014.7468007313</v>
      </c>
      <c r="G7" s="22" t="n">
        <f aca="false">F7/C7</f>
        <v>0.218225933495484</v>
      </c>
      <c r="H7" s="20" t="n">
        <v>422762</v>
      </c>
      <c r="I7" s="23" t="n">
        <f aca="false">F7/H7</f>
        <v>0.078092985653231</v>
      </c>
      <c r="J7" s="24" t="n">
        <f aca="false">C7/H7</f>
        <v>0.357853827922093</v>
      </c>
      <c r="K7" s="17"/>
    </row>
    <row r="8" customFormat="false" ht="14.25" hidden="false" customHeight="false" outlineLevel="0" collapsed="false">
      <c r="B8" s="91" t="s">
        <v>25</v>
      </c>
      <c r="C8" s="20" t="n">
        <v>213995</v>
      </c>
      <c r="D8" s="20" t="n">
        <v>44270737</v>
      </c>
      <c r="E8" s="21" t="n">
        <v>1114</v>
      </c>
      <c r="F8" s="20" t="n">
        <f aca="false">D8/E8</f>
        <v>39740.3384201077</v>
      </c>
      <c r="G8" s="22" t="n">
        <f aca="false">F8/C8</f>
        <v>0.18570685492702</v>
      </c>
      <c r="H8" s="20" t="n">
        <v>1518390</v>
      </c>
      <c r="I8" s="23" t="n">
        <f aca="false">F8/H8</f>
        <v>0.0261726818670485</v>
      </c>
      <c r="J8" s="24" t="n">
        <f aca="false">C8/H8</f>
        <v>0.140935464538096</v>
      </c>
      <c r="K8" s="17"/>
    </row>
    <row r="9" customFormat="false" ht="14.25" hidden="false" customHeight="false" outlineLevel="0" collapsed="false">
      <c r="B9" s="91" t="s">
        <v>26</v>
      </c>
      <c r="C9" s="20" t="n">
        <v>219258.4</v>
      </c>
      <c r="D9" s="20" t="n">
        <v>45818312</v>
      </c>
      <c r="E9" s="21" t="n">
        <v>1162</v>
      </c>
      <c r="F9" s="20" t="n">
        <f aca="false">D9/E9</f>
        <v>39430.5611015491</v>
      </c>
      <c r="G9" s="22" t="n">
        <f aca="false">F9/C9</f>
        <v>0.179836034111118</v>
      </c>
      <c r="H9" s="20" t="n">
        <v>2413571</v>
      </c>
      <c r="I9" s="23" t="n">
        <f aca="false">F9/H9</f>
        <v>0.0163370214099975</v>
      </c>
      <c r="J9" s="24" t="n">
        <f aca="false">C9/H9</f>
        <v>0.0908439818012397</v>
      </c>
      <c r="K9" s="21" t="n">
        <v>681</v>
      </c>
    </row>
    <row r="10" customFormat="false" ht="14.25" hidden="false" customHeight="false" outlineLevel="0" collapsed="false">
      <c r="B10" s="91" t="s">
        <v>27</v>
      </c>
      <c r="C10" s="20" t="n">
        <v>256315</v>
      </c>
      <c r="D10" s="20" t="n">
        <v>55417002</v>
      </c>
      <c r="E10" s="21" t="n">
        <v>1213</v>
      </c>
      <c r="F10" s="20" t="n">
        <f aca="false">D10/E10</f>
        <v>45685.9043693322</v>
      </c>
      <c r="G10" s="22" t="n">
        <f aca="false">F10/C10</f>
        <v>0.178241243662416</v>
      </c>
      <c r="H10" s="20" t="n">
        <v>2436084</v>
      </c>
      <c r="I10" s="23" t="n">
        <f aca="false">F10/H10</f>
        <v>0.0187538296583091</v>
      </c>
      <c r="J10" s="24" t="n">
        <f aca="false">C10/H10</f>
        <v>0.10521599419396</v>
      </c>
      <c r="K10" s="21" t="n">
        <v>713</v>
      </c>
    </row>
    <row r="11" customFormat="false" ht="14.25" hidden="false" customHeight="false" outlineLevel="0" collapsed="false">
      <c r="B11" s="91" t="s">
        <v>28</v>
      </c>
      <c r="C11" s="20" t="n">
        <v>266424.95</v>
      </c>
      <c r="D11" s="20" t="n">
        <v>58752903</v>
      </c>
      <c r="E11" s="21" t="n">
        <v>1325</v>
      </c>
      <c r="F11" s="20" t="n">
        <f aca="false">D11/E11</f>
        <v>44341.8135849057</v>
      </c>
      <c r="G11" s="22" t="n">
        <f aca="false">F11/C11</f>
        <v>0.166432661749231</v>
      </c>
      <c r="H11" s="20" t="n">
        <v>2656123</v>
      </c>
      <c r="I11" s="23" t="n">
        <f aca="false">F11/H11</f>
        <v>0.0166941868222615</v>
      </c>
      <c r="J11" s="24" t="n">
        <f aca="false">C11/H11</f>
        <v>0.100305953451704</v>
      </c>
      <c r="K11" s="21" t="n">
        <v>680</v>
      </c>
    </row>
    <row r="12" customFormat="false" ht="14.25" hidden="false" customHeight="false" outlineLevel="0" collapsed="false">
      <c r="B12" s="91" t="s">
        <v>29</v>
      </c>
      <c r="C12" s="20" t="n">
        <v>238700</v>
      </c>
      <c r="D12" s="20" t="n">
        <v>50981118.8</v>
      </c>
      <c r="E12" s="21" t="n">
        <v>1360</v>
      </c>
      <c r="F12" s="20" t="n">
        <f aca="false">D12/E12</f>
        <v>37486.1167647059</v>
      </c>
      <c r="G12" s="22" t="n">
        <f aca="false">F12/C12</f>
        <v>0.157042801695458</v>
      </c>
      <c r="H12" s="20" t="n">
        <v>2590577</v>
      </c>
      <c r="I12" s="23" t="n">
        <f aca="false">F12/H12</f>
        <v>0.0144701804905648</v>
      </c>
      <c r="J12" s="24" t="n">
        <f aca="false">C12/H12</f>
        <v>0.0921416348558642</v>
      </c>
      <c r="K12" s="21" t="n">
        <v>616</v>
      </c>
    </row>
    <row r="13" customFormat="false" ht="14.25" hidden="false" customHeight="false" outlineLevel="0" collapsed="false">
      <c r="B13" s="91" t="s">
        <v>30</v>
      </c>
      <c r="C13" s="20" t="n">
        <f aca="false">96720+41160+118750</f>
        <v>256630</v>
      </c>
      <c r="D13" s="20" t="n">
        <v>67487673</v>
      </c>
      <c r="E13" s="21" t="n">
        <v>1400</v>
      </c>
      <c r="F13" s="20" t="n">
        <f aca="false">D13/E13</f>
        <v>48205.4807142857</v>
      </c>
      <c r="G13" s="22" t="n">
        <f aca="false">F13/C13</f>
        <v>0.187840395566714</v>
      </c>
      <c r="H13" s="20" t="n">
        <v>2522489</v>
      </c>
      <c r="I13" s="23" t="n">
        <f aca="false">F13/H13</f>
        <v>0.0191102838166136</v>
      </c>
      <c r="J13" s="24" t="n">
        <f aca="false">C13/H13</f>
        <v>0.101736816295334</v>
      </c>
      <c r="K13" s="21" t="n">
        <v>584</v>
      </c>
    </row>
    <row r="14" customFormat="false" ht="14.25" hidden="false" customHeight="false" outlineLevel="0" collapsed="false">
      <c r="B14" s="91" t="s">
        <v>31</v>
      </c>
      <c r="C14" s="20" t="n">
        <v>231633</v>
      </c>
      <c r="D14" s="20" t="n">
        <v>59450626</v>
      </c>
      <c r="E14" s="21" t="n">
        <v>1435</v>
      </c>
      <c r="F14" s="20" t="n">
        <f aca="false">D14/E14</f>
        <v>41429.0076655052</v>
      </c>
      <c r="G14" s="22" t="n">
        <f aca="false">F14/C14</f>
        <v>0.178856240973891</v>
      </c>
      <c r="H14" s="20" t="n">
        <v>2279040</v>
      </c>
      <c r="I14" s="23" t="n">
        <f aca="false">F14/H14</f>
        <v>0.0181782714061645</v>
      </c>
      <c r="J14" s="24" t="n">
        <f aca="false">C14/H14</f>
        <v>0.101636215248526</v>
      </c>
      <c r="K14" s="21" t="s">
        <v>62</v>
      </c>
    </row>
    <row r="15" customFormat="false" ht="14.25" hidden="false" customHeight="false" outlineLevel="0" collapsed="false">
      <c r="B15" s="91" t="s">
        <v>32</v>
      </c>
      <c r="C15" s="20" t="n">
        <f aca="false">89355+44785+136145</f>
        <v>270285</v>
      </c>
      <c r="D15" s="20" t="n">
        <v>64709304.4</v>
      </c>
      <c r="E15" s="21" t="n">
        <v>1450</v>
      </c>
      <c r="F15" s="20" t="n">
        <f aca="false">D15/E15</f>
        <v>44627.1064827586</v>
      </c>
      <c r="G15" s="22" t="n">
        <f aca="false">F15/C15</f>
        <v>0.165111295420606</v>
      </c>
      <c r="H15" s="20" t="n">
        <v>1575989</v>
      </c>
      <c r="I15" s="23" t="n">
        <f aca="false">F15/H15</f>
        <v>0.0283168895739492</v>
      </c>
      <c r="J15" s="24" t="n">
        <f aca="false">C15/H15</f>
        <v>0.171501831548317</v>
      </c>
      <c r="K15" s="21" t="s">
        <v>63</v>
      </c>
    </row>
    <row r="16" customFormat="false" ht="14.25" hidden="false" customHeight="false" outlineLevel="0" collapsed="false">
      <c r="B16" s="91" t="s">
        <v>33</v>
      </c>
      <c r="C16" s="20" t="n">
        <v>202899</v>
      </c>
      <c r="D16" s="20" t="n">
        <v>56550984</v>
      </c>
      <c r="E16" s="21" t="n">
        <v>1464</v>
      </c>
      <c r="F16" s="20" t="n">
        <f aca="false">D16/E16</f>
        <v>38627.7213114754</v>
      </c>
      <c r="G16" s="22" t="n">
        <f aca="false">F16/C16</f>
        <v>0.19037906205292</v>
      </c>
      <c r="H16" s="20" t="n">
        <v>1094280</v>
      </c>
      <c r="I16" s="23" t="n">
        <f aca="false">F16/H16</f>
        <v>0.0352996685596698</v>
      </c>
      <c r="J16" s="24" t="n">
        <f aca="false">C16/H16</f>
        <v>0.185417808970282</v>
      </c>
      <c r="K16" s="21" t="s">
        <v>64</v>
      </c>
    </row>
    <row r="18" customFormat="false" ht="14.25" hidden="false" customHeight="false" outlineLevel="0" collapsed="false">
      <c r="B18" s="25" t="s">
        <v>34</v>
      </c>
      <c r="C18" s="66" t="n">
        <f aca="false">SUM(C5:C16)</f>
        <v>2617540.35</v>
      </c>
      <c r="D18" s="26"/>
      <c r="E18" s="26"/>
      <c r="F18" s="66" t="n">
        <f aca="false">SUM(F5:F16)</f>
        <v>473911.518251659</v>
      </c>
      <c r="G18" s="26"/>
      <c r="H18" s="66" t="n">
        <f aca="false">SUM(H5:H16)</f>
        <v>20294353</v>
      </c>
    </row>
    <row r="19" customFormat="false" ht="14.25" hidden="false" customHeight="false" outlineLevel="0" collapsed="false">
      <c r="B19" s="27" t="s">
        <v>35</v>
      </c>
      <c r="C19" s="5"/>
      <c r="D19" s="5"/>
      <c r="E19" s="5"/>
      <c r="F19" s="5"/>
      <c r="G19" s="92" t="n">
        <f aca="false">(G5*F5+G6*F6+G7*F7+G8*F8+G9*F9+G10*F10+G11*F11+G12*F12+G13*F13+G14*F14+G15*F15+G16*F16)/F18</f>
        <v>0.182319249899335</v>
      </c>
      <c r="H19" s="93"/>
      <c r="I19" s="92" t="n">
        <f aca="false">(I5*H5+I6*H6+I7*H7+I8*H8+I9*H9+I10*H10+I11*H11+I12*H12+I13*H13+I14*H14+H15*I15+H16*I16)/H18</f>
        <v>0.0233518909546739</v>
      </c>
      <c r="J19" s="92" t="n">
        <f aca="false">(J5*H5+J6*H6+J7*H7+J8*H8+J9*H9+J10*H10+J11*J11+J12*H12+J13*H13+J14*H14+J15*H15+J16*H16)/H18</f>
        <v>0.115850720151625</v>
      </c>
    </row>
    <row r="21" customFormat="false" ht="14.25" hidden="false" customHeight="false" outlineLevel="0" collapsed="false">
      <c r="B21" s="34" t="s">
        <v>13</v>
      </c>
      <c r="C21" s="94" t="n">
        <v>107552</v>
      </c>
      <c r="D21" s="87" t="s">
        <v>65</v>
      </c>
    </row>
    <row r="22" customFormat="false" ht="14.25" hidden="false" customHeight="false" outlineLevel="0" collapsed="false">
      <c r="B22" s="88"/>
      <c r="C22" s="89" t="s">
        <v>14</v>
      </c>
      <c r="D22" s="89" t="s">
        <v>15</v>
      </c>
      <c r="E22" s="89" t="s">
        <v>16</v>
      </c>
      <c r="F22" s="89" t="s">
        <v>17</v>
      </c>
      <c r="G22" s="89" t="s">
        <v>18</v>
      </c>
      <c r="H22" s="89" t="s">
        <v>37</v>
      </c>
      <c r="I22" s="89" t="s">
        <v>38</v>
      </c>
      <c r="J22" s="89" t="s">
        <v>39</v>
      </c>
      <c r="K22" s="95" t="s">
        <v>66</v>
      </c>
    </row>
    <row r="23" customFormat="false" ht="14.25" hidden="false" customHeight="false" outlineLevel="0" collapsed="false">
      <c r="B23" s="91" t="s">
        <v>22</v>
      </c>
      <c r="C23" s="20" t="n">
        <v>61020</v>
      </c>
      <c r="D23" s="20" t="n">
        <v>28478675</v>
      </c>
      <c r="E23" s="21" t="n">
        <v>1074</v>
      </c>
      <c r="F23" s="20" t="n">
        <f aca="false">D23/E23</f>
        <v>26516.45716946</v>
      </c>
      <c r="G23" s="96" t="n">
        <f aca="false">F23/C23</f>
        <v>0.43455354260013</v>
      </c>
      <c r="H23" s="20" t="n">
        <f aca="false">122650+127099</f>
        <v>249749</v>
      </c>
      <c r="I23" s="23" t="n">
        <f aca="false">F23/H23</f>
        <v>0.106172425793336</v>
      </c>
      <c r="J23" s="24" t="n">
        <f aca="false">C23/H23</f>
        <v>0.244325302603814</v>
      </c>
      <c r="K23" s="17"/>
    </row>
    <row r="24" customFormat="false" ht="14.25" hidden="false" customHeight="false" outlineLevel="0" collapsed="false">
      <c r="B24" s="91" t="s">
        <v>23</v>
      </c>
      <c r="C24" s="20" t="n">
        <v>198072</v>
      </c>
      <c r="D24" s="20" t="n">
        <v>36739215</v>
      </c>
      <c r="E24" s="21" t="n">
        <v>1084</v>
      </c>
      <c r="F24" s="20" t="n">
        <f aca="false">D24/E24</f>
        <v>33892.2647601476</v>
      </c>
      <c r="G24" s="96" t="n">
        <f aca="false">F24/C24</f>
        <v>0.171110832223371</v>
      </c>
      <c r="H24" s="20" t="n">
        <v>130227</v>
      </c>
      <c r="I24" s="23" t="n">
        <f aca="false">F24/H24</f>
        <v>0.26025528316054</v>
      </c>
      <c r="J24" s="24" t="n">
        <f aca="false">C24/H24</f>
        <v>1.52097491303647</v>
      </c>
      <c r="K24" s="17"/>
    </row>
    <row r="25" customFormat="false" ht="14.25" hidden="false" customHeight="false" outlineLevel="0" collapsed="false">
      <c r="B25" s="91" t="s">
        <v>24</v>
      </c>
      <c r="C25" s="20" t="n">
        <v>179748</v>
      </c>
      <c r="D25" s="20" t="n">
        <v>33949544</v>
      </c>
      <c r="E25" s="21" t="n">
        <v>1094</v>
      </c>
      <c r="F25" s="20" t="n">
        <f aca="false">D25/E25</f>
        <v>31032.4899451554</v>
      </c>
      <c r="G25" s="96" t="n">
        <f aca="false">F25/C25</f>
        <v>0.172644424111286</v>
      </c>
      <c r="H25" s="20" t="n">
        <f aca="false">139761+7200+1867</f>
        <v>148828</v>
      </c>
      <c r="I25" s="23" t="n">
        <f aca="false">F25/H25</f>
        <v>0.208512443526456</v>
      </c>
      <c r="J25" s="24" t="n">
        <f aca="false">C25/H25</f>
        <v>1.20775660493993</v>
      </c>
      <c r="K25" s="17"/>
    </row>
    <row r="26" customFormat="false" ht="14.25" hidden="false" customHeight="false" outlineLevel="0" collapsed="false">
      <c r="B26" s="91" t="s">
        <v>25</v>
      </c>
      <c r="C26" s="20" t="n">
        <v>144900</v>
      </c>
      <c r="D26" s="20" t="n">
        <v>29441972</v>
      </c>
      <c r="E26" s="21" t="n">
        <v>1114</v>
      </c>
      <c r="F26" s="20" t="n">
        <f aca="false">D26/E26</f>
        <v>26429.0592459605</v>
      </c>
      <c r="G26" s="96" t="n">
        <f aca="false">F26/C26</f>
        <v>0.182395163878264</v>
      </c>
      <c r="H26" s="20" t="n">
        <v>286814</v>
      </c>
      <c r="I26" s="23" t="n">
        <f aca="false">F26/H26</f>
        <v>0.0921470334291928</v>
      </c>
      <c r="J26" s="24" t="n">
        <f aca="false">C26/H26</f>
        <v>0.505205464168416</v>
      </c>
      <c r="K26" s="17"/>
    </row>
    <row r="27" customFormat="false" ht="14.25" hidden="false" customHeight="false" outlineLevel="0" collapsed="false">
      <c r="B27" s="91" t="s">
        <v>26</v>
      </c>
      <c r="C27" s="20" t="n">
        <v>142992</v>
      </c>
      <c r="D27" s="20" t="n">
        <v>29573431.64</v>
      </c>
      <c r="E27" s="21" t="n">
        <v>1162</v>
      </c>
      <c r="F27" s="20" t="n">
        <f aca="false">D27/E27</f>
        <v>25450.4575215146</v>
      </c>
      <c r="G27" s="96" t="n">
        <f aca="false">F27/C27</f>
        <v>0.177985184636306</v>
      </c>
      <c r="H27" s="20" t="n">
        <v>405306</v>
      </c>
      <c r="I27" s="23" t="n">
        <f aca="false">F27/H27</f>
        <v>0.0627931921104416</v>
      </c>
      <c r="J27" s="24" t="n">
        <f aca="false">C27/H27</f>
        <v>0.352800106586135</v>
      </c>
      <c r="K27" s="21" t="n">
        <v>259</v>
      </c>
    </row>
    <row r="28" customFormat="false" ht="14.25" hidden="false" customHeight="false" outlineLevel="0" collapsed="false">
      <c r="B28" s="91" t="s">
        <v>27</v>
      </c>
      <c r="C28" s="20" t="n">
        <v>153720</v>
      </c>
      <c r="D28" s="20" t="n">
        <v>33909050</v>
      </c>
      <c r="E28" s="21" t="n">
        <v>1213</v>
      </c>
      <c r="F28" s="20" t="n">
        <f aca="false">D28/E28</f>
        <v>27954.6990931575</v>
      </c>
      <c r="G28" s="96" t="n">
        <f aca="false">F28/C28</f>
        <v>0.181854664930767</v>
      </c>
      <c r="H28" s="20" t="n">
        <v>368643</v>
      </c>
      <c r="I28" s="23" t="n">
        <f aca="false">F28/H28</f>
        <v>0.0758313574193935</v>
      </c>
      <c r="J28" s="24" t="n">
        <f aca="false">C28/H28</f>
        <v>0.416988794036507</v>
      </c>
      <c r="K28" s="21" t="n">
        <v>259</v>
      </c>
    </row>
    <row r="29" customFormat="false" ht="14.25" hidden="false" customHeight="false" outlineLevel="0" collapsed="false">
      <c r="B29" s="91" t="s">
        <v>28</v>
      </c>
      <c r="C29" s="20" t="n">
        <v>180000</v>
      </c>
      <c r="D29" s="20" t="n">
        <v>37054823</v>
      </c>
      <c r="E29" s="21" t="n">
        <v>1325</v>
      </c>
      <c r="F29" s="20" t="n">
        <f aca="false">D29/E29</f>
        <v>27965.9041509434</v>
      </c>
      <c r="G29" s="96" t="n">
        <f aca="false">F29/C29</f>
        <v>0.155366134171908</v>
      </c>
      <c r="H29" s="20" t="n">
        <v>368859</v>
      </c>
      <c r="I29" s="23" t="n">
        <f aca="false">F29/H29</f>
        <v>0.0758173289819237</v>
      </c>
      <c r="J29" s="24" t="n">
        <f aca="false">C29/H29</f>
        <v>0.487991346286793</v>
      </c>
      <c r="K29" s="21" t="n">
        <v>302</v>
      </c>
    </row>
    <row r="30" customFormat="false" ht="14.25" hidden="false" customHeight="false" outlineLevel="0" collapsed="false">
      <c r="B30" s="91" t="s">
        <v>29</v>
      </c>
      <c r="C30" s="20" t="n">
        <v>137160</v>
      </c>
      <c r="D30" s="20" t="n">
        <v>34918532.3</v>
      </c>
      <c r="E30" s="21" t="n">
        <v>1360</v>
      </c>
      <c r="F30" s="20" t="n">
        <f aca="false">D30/E30</f>
        <v>25675.3913970588</v>
      </c>
      <c r="G30" s="96" t="n">
        <f aca="false">F30/C30</f>
        <v>0.187192996478994</v>
      </c>
      <c r="H30" s="20" t="n">
        <v>449859</v>
      </c>
      <c r="I30" s="23" t="n">
        <f aca="false">F30/H30</f>
        <v>0.0570743086101619</v>
      </c>
      <c r="J30" s="24" t="n">
        <f aca="false">C30/H30</f>
        <v>0.304895533933966</v>
      </c>
      <c r="K30" s="21" t="n">
        <v>288</v>
      </c>
    </row>
    <row r="31" customFormat="false" ht="14.25" hidden="false" customHeight="false" outlineLevel="0" collapsed="false">
      <c r="B31" s="91" t="s">
        <v>30</v>
      </c>
      <c r="C31" s="20" t="n">
        <f aca="false">34740+28584+79704+8820+7344+19944</f>
        <v>179136</v>
      </c>
      <c r="D31" s="20" t="n">
        <v>43973571</v>
      </c>
      <c r="E31" s="21" t="n">
        <v>1400</v>
      </c>
      <c r="F31" s="20" t="n">
        <f aca="false">D31/E31</f>
        <v>31409.6935714286</v>
      </c>
      <c r="G31" s="96" t="n">
        <f aca="false">F31/C31</f>
        <v>0.17533992927959</v>
      </c>
      <c r="H31" s="20" t="n">
        <v>373747</v>
      </c>
      <c r="I31" s="23" t="n">
        <f aca="false">F31/H31</f>
        <v>0.0840399884719572</v>
      </c>
      <c r="J31" s="24" t="n">
        <f aca="false">C31/H31</f>
        <v>0.479297492688905</v>
      </c>
      <c r="K31" s="21" t="s">
        <v>67</v>
      </c>
    </row>
    <row r="32" customFormat="false" ht="14.25" hidden="false" customHeight="false" outlineLevel="0" collapsed="false">
      <c r="B32" s="91" t="s">
        <v>31</v>
      </c>
      <c r="C32" s="20" t="n">
        <v>173484</v>
      </c>
      <c r="D32" s="20" t="n">
        <v>40846829</v>
      </c>
      <c r="E32" s="21" t="n">
        <v>1435</v>
      </c>
      <c r="F32" s="20" t="n">
        <f aca="false">D32/E32</f>
        <v>28464.6891986063</v>
      </c>
      <c r="G32" s="96" t="n">
        <f aca="false">F32/C32</f>
        <v>0.164076740210084</v>
      </c>
      <c r="H32" s="20" t="n">
        <v>436798</v>
      </c>
      <c r="I32" s="23" t="n">
        <f aca="false">F32/H32</f>
        <v>0.0651667113828504</v>
      </c>
      <c r="J32" s="24" t="n">
        <f aca="false">C32/H32</f>
        <v>0.397172148224122</v>
      </c>
      <c r="K32" s="21" t="s">
        <v>68</v>
      </c>
    </row>
    <row r="33" customFormat="false" ht="14.25" hidden="false" customHeight="false" outlineLevel="0" collapsed="false">
      <c r="B33" s="91" t="s">
        <v>32</v>
      </c>
      <c r="C33" s="20" t="n">
        <f aca="false">33696+30528+79272+8496+7741+19655</f>
        <v>179388</v>
      </c>
      <c r="D33" s="20" t="n">
        <v>41042090</v>
      </c>
      <c r="E33" s="21" t="n">
        <v>1450</v>
      </c>
      <c r="F33" s="20" t="n">
        <f aca="false">D33/E33</f>
        <v>28304.8896551724</v>
      </c>
      <c r="G33" s="96" t="n">
        <f aca="false">F33/C33</f>
        <v>0.157785858893418</v>
      </c>
      <c r="H33" s="20" t="n">
        <v>357081</v>
      </c>
      <c r="I33" s="23" t="n">
        <f aca="false">F33/H33</f>
        <v>0.079267420151653</v>
      </c>
      <c r="J33" s="24" t="n">
        <f aca="false">C33/H33</f>
        <v>0.502373411074798</v>
      </c>
      <c r="K33" s="21" t="n">
        <v>302</v>
      </c>
    </row>
    <row r="34" customFormat="false" ht="14.25" hidden="false" customHeight="false" outlineLevel="0" collapsed="false">
      <c r="B34" s="91" t="s">
        <v>33</v>
      </c>
      <c r="C34" s="20" t="n">
        <v>125748</v>
      </c>
      <c r="D34" s="20" t="n">
        <v>36104730</v>
      </c>
      <c r="E34" s="21" t="n">
        <v>1464</v>
      </c>
      <c r="F34" s="20" t="n">
        <f aca="false">D34/E34</f>
        <v>24661.7008196721</v>
      </c>
      <c r="G34" s="96" t="n">
        <f aca="false">F34/C34</f>
        <v>0.196120024331776</v>
      </c>
      <c r="H34" s="20" t="n">
        <v>321269</v>
      </c>
      <c r="I34" s="23" t="n">
        <f aca="false">F34/H34</f>
        <v>0.0767634002025472</v>
      </c>
      <c r="J34" s="24" t="n">
        <f aca="false">C34/H34</f>
        <v>0.391410313475623</v>
      </c>
      <c r="K34" s="21" t="n">
        <v>302</v>
      </c>
    </row>
    <row r="36" customFormat="false" ht="14.25" hidden="false" customHeight="false" outlineLevel="0" collapsed="false">
      <c r="B36" s="25" t="s">
        <v>34</v>
      </c>
      <c r="C36" s="26" t="n">
        <f aca="false">SUM(C23:C34)</f>
        <v>1855368</v>
      </c>
      <c r="D36" s="26"/>
      <c r="E36" s="26"/>
      <c r="F36" s="26" t="n">
        <f aca="false">SUM(F23:F34)</f>
        <v>337757.696528277</v>
      </c>
      <c r="G36" s="26"/>
      <c r="H36" s="26" t="n">
        <f aca="false">SUM(H23:H34)</f>
        <v>3897180</v>
      </c>
    </row>
    <row r="37" customFormat="false" ht="14.25" hidden="false" customHeight="false" outlineLevel="0" collapsed="false">
      <c r="B37" s="27" t="s">
        <v>35</v>
      </c>
      <c r="C37" s="10"/>
      <c r="D37" s="10"/>
      <c r="E37" s="10"/>
      <c r="F37" s="10"/>
      <c r="G37" s="31" t="n">
        <f aca="false">(G23*F23+G24*F24+G25*F25+G26*F26+G27*F27+G28*F28+G29*F29+G30*F30+G31*F31+G32*F32+G33*F33+G34*F34)/F36</f>
        <v>0.194652882503394</v>
      </c>
      <c r="H37" s="16"/>
      <c r="I37" s="28" t="n">
        <f aca="false">(I23*H23+I24*H24+I25*H25+I26*H26+I27*H27+I28*H28+I29*H29+I30*H30+I31*H31+I32*H32+I33*H33+I34*H34)/H36</f>
        <v>0.0866672046270065</v>
      </c>
      <c r="J37" s="31" t="n">
        <f aca="false">(J23*H23+J24*H24+J25*H25+J26*H26+J27*H27+J28*H28+J29*J29+J30*H30+J31*H31+J32*H32+J33*H33+J34*H34)/H36</f>
        <v>0.429892444828197</v>
      </c>
    </row>
    <row r="38" customFormat="false" ht="14.2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4.25" hidden="false" customHeight="false" outlineLevel="0" collapsed="false">
      <c r="B39" s="97" t="s">
        <v>58</v>
      </c>
      <c r="C39" s="86"/>
    </row>
    <row r="40" customFormat="false" ht="14.25" hidden="false" customHeight="false" outlineLevel="0" collapsed="false">
      <c r="B40" s="32" t="s">
        <v>41</v>
      </c>
      <c r="C40" s="98"/>
    </row>
    <row r="41" customFormat="false" ht="14.25" hidden="false" customHeight="false" outlineLevel="0" collapsed="false">
      <c r="B41" s="88"/>
      <c r="C41" s="89" t="s">
        <v>14</v>
      </c>
      <c r="D41" s="89" t="s">
        <v>15</v>
      </c>
      <c r="E41" s="89" t="s">
        <v>16</v>
      </c>
      <c r="F41" s="89" t="s">
        <v>17</v>
      </c>
      <c r="G41" s="89" t="s">
        <v>18</v>
      </c>
      <c r="H41" s="99" t="s">
        <v>55</v>
      </c>
      <c r="I41" s="99" t="s">
        <v>56</v>
      </c>
      <c r="J41" s="89" t="s">
        <v>21</v>
      </c>
      <c r="L41" s="88"/>
      <c r="M41" s="99" t="s">
        <v>14</v>
      </c>
      <c r="N41" s="99" t="s">
        <v>17</v>
      </c>
      <c r="O41" s="99" t="s">
        <v>18</v>
      </c>
      <c r="P41" s="99" t="s">
        <v>55</v>
      </c>
      <c r="Q41" s="99" t="s">
        <v>56</v>
      </c>
    </row>
    <row r="42" customFormat="false" ht="14.25" hidden="false" customHeight="false" outlineLevel="0" collapsed="false">
      <c r="B42" s="91" t="s">
        <v>22</v>
      </c>
      <c r="C42" s="20" t="n">
        <f aca="false">C5+C23</f>
        <v>209360</v>
      </c>
      <c r="D42" s="100" t="n">
        <f aca="false">D5+D23</f>
        <v>59370524</v>
      </c>
      <c r="E42" s="101" t="n">
        <f aca="false">E5</f>
        <v>1074</v>
      </c>
      <c r="F42" s="101" t="n">
        <f aca="false">D42/E42</f>
        <v>55279.8175046555</v>
      </c>
      <c r="G42" s="102" t="n">
        <f aca="false">F42/C42</f>
        <v>0.264041925413907</v>
      </c>
      <c r="H42" s="20" t="n">
        <f aca="false">H5+H23</f>
        <v>615394</v>
      </c>
      <c r="I42" s="103" t="n">
        <f aca="false">F42/H42</f>
        <v>0.0898283335629783</v>
      </c>
      <c r="J42" s="24" t="n">
        <f aca="false">C42/H42</f>
        <v>0.340204811876619</v>
      </c>
      <c r="L42" s="91" t="s">
        <v>22</v>
      </c>
      <c r="M42" s="20" t="n">
        <f aca="false">C42</f>
        <v>209360</v>
      </c>
      <c r="N42" s="101" t="n">
        <f aca="false">F42</f>
        <v>55279.8175046555</v>
      </c>
      <c r="O42" s="102" t="n">
        <f aca="false">N42/M42</f>
        <v>0.264041925413907</v>
      </c>
      <c r="P42" s="20" t="n">
        <f aca="false">H42</f>
        <v>615394</v>
      </c>
      <c r="Q42" s="103" t="n">
        <f aca="false">N42/P42</f>
        <v>0.0898283335629783</v>
      </c>
    </row>
    <row r="43" customFormat="false" ht="14.25" hidden="false" customHeight="false" outlineLevel="0" collapsed="false">
      <c r="B43" s="91" t="s">
        <v>23</v>
      </c>
      <c r="C43" s="20" t="n">
        <f aca="false">C6+C24</f>
        <v>359845</v>
      </c>
      <c r="D43" s="100" t="n">
        <f aca="false">D6+D24</f>
        <v>72033562</v>
      </c>
      <c r="E43" s="101" t="n">
        <f aca="false">E6</f>
        <v>1084</v>
      </c>
      <c r="F43" s="101" t="n">
        <f aca="false">D43/E43</f>
        <v>66451.6254612546</v>
      </c>
      <c r="G43" s="102" t="n">
        <f aca="false">F43/C43</f>
        <v>0.184667358060428</v>
      </c>
      <c r="H43" s="20" t="n">
        <f aca="false">H6+H24</f>
        <v>549630</v>
      </c>
      <c r="I43" s="103" t="n">
        <f aca="false">F43/H43</f>
        <v>0.120902471592261</v>
      </c>
      <c r="J43" s="24" t="n">
        <f aca="false">C43/H43</f>
        <v>0.654704073649546</v>
      </c>
      <c r="L43" s="91" t="s">
        <v>23</v>
      </c>
      <c r="M43" s="20" t="n">
        <f aca="false">C43</f>
        <v>359845</v>
      </c>
      <c r="N43" s="101" t="n">
        <f aca="false">F43</f>
        <v>66451.6254612546</v>
      </c>
      <c r="O43" s="102" t="n">
        <f aca="false">N43/M43</f>
        <v>0.184667358060428</v>
      </c>
      <c r="P43" s="20" t="n">
        <f aca="false">H43</f>
        <v>549630</v>
      </c>
      <c r="Q43" s="103" t="n">
        <f aca="false">N43/P43</f>
        <v>0.120902471592261</v>
      </c>
    </row>
    <row r="44" customFormat="false" ht="14.25" hidden="false" customHeight="false" outlineLevel="0" collapsed="false">
      <c r="B44" s="91" t="s">
        <v>24</v>
      </c>
      <c r="C44" s="20" t="n">
        <f aca="false">C7+C25</f>
        <v>331035</v>
      </c>
      <c r="D44" s="100" t="n">
        <f aca="false">D7+D25</f>
        <v>70067677</v>
      </c>
      <c r="E44" s="101" t="n">
        <f aca="false">E7</f>
        <v>1094</v>
      </c>
      <c r="F44" s="101" t="n">
        <f aca="false">D44/E44</f>
        <v>64047.2367458867</v>
      </c>
      <c r="G44" s="102" t="n">
        <f aca="false">F44/C44</f>
        <v>0.193475725364045</v>
      </c>
      <c r="H44" s="20" t="n">
        <f aca="false">H7+H25</f>
        <v>571590</v>
      </c>
      <c r="I44" s="103" t="n">
        <f aca="false">F44/H44</f>
        <v>0.112051009895006</v>
      </c>
      <c r="J44" s="24" t="n">
        <f aca="false">C44/H44</f>
        <v>0.579147640791476</v>
      </c>
      <c r="L44" s="91" t="s">
        <v>24</v>
      </c>
      <c r="M44" s="20" t="n">
        <f aca="false">C44</f>
        <v>331035</v>
      </c>
      <c r="N44" s="101" t="n">
        <f aca="false">F44</f>
        <v>64047.2367458867</v>
      </c>
      <c r="O44" s="102" t="n">
        <f aca="false">N44/M44</f>
        <v>0.193475725364045</v>
      </c>
      <c r="P44" s="20" t="n">
        <f aca="false">H44</f>
        <v>571590</v>
      </c>
      <c r="Q44" s="103" t="n">
        <f aca="false">N44/P44</f>
        <v>0.112051009895006</v>
      </c>
    </row>
    <row r="45" customFormat="false" ht="14.25" hidden="false" customHeight="false" outlineLevel="0" collapsed="false">
      <c r="B45" s="91" t="s">
        <v>25</v>
      </c>
      <c r="C45" s="20" t="n">
        <f aca="false">C8+C26</f>
        <v>358895</v>
      </c>
      <c r="D45" s="100" t="n">
        <f aca="false">D8+D26</f>
        <v>73712709</v>
      </c>
      <c r="E45" s="101" t="n">
        <f aca="false">E8</f>
        <v>1114</v>
      </c>
      <c r="F45" s="101" t="n">
        <f aca="false">D45/E45</f>
        <v>66169.3976660682</v>
      </c>
      <c r="G45" s="102" t="n">
        <f aca="false">F45/C45</f>
        <v>0.184369795249497</v>
      </c>
      <c r="H45" s="20" t="n">
        <f aca="false">H8+H26</f>
        <v>1805204</v>
      </c>
      <c r="I45" s="103" t="n">
        <f aca="false">F45/H45</f>
        <v>0.0366548033718451</v>
      </c>
      <c r="J45" s="24" t="n">
        <f aca="false">C45/H45</f>
        <v>0.198811325479004</v>
      </c>
      <c r="L45" s="91" t="s">
        <v>25</v>
      </c>
      <c r="M45" s="20" t="n">
        <f aca="false">C45</f>
        <v>358895</v>
      </c>
      <c r="N45" s="101" t="n">
        <f aca="false">F45</f>
        <v>66169.3976660682</v>
      </c>
      <c r="O45" s="102" t="n">
        <f aca="false">N45/M45</f>
        <v>0.184369795249497</v>
      </c>
      <c r="P45" s="20" t="n">
        <f aca="false">H45</f>
        <v>1805204</v>
      </c>
      <c r="Q45" s="103" t="n">
        <f aca="false">N45/P45</f>
        <v>0.0366548033718451</v>
      </c>
    </row>
    <row r="46" customFormat="false" ht="14.25" hidden="false" customHeight="false" outlineLevel="0" collapsed="false">
      <c r="B46" s="91" t="s">
        <v>26</v>
      </c>
      <c r="C46" s="20" t="n">
        <f aca="false">C9+C27</f>
        <v>362250.4</v>
      </c>
      <c r="D46" s="104" t="n">
        <f aca="false">D9+D27</f>
        <v>75391743.64</v>
      </c>
      <c r="E46" s="21" t="n">
        <v>1188.5</v>
      </c>
      <c r="F46" s="101" t="n">
        <f aca="false">D46/E46</f>
        <v>63434.3657046698</v>
      </c>
      <c r="G46" s="102" t="n">
        <f aca="false">F46/C46</f>
        <v>0.175111927287505</v>
      </c>
      <c r="H46" s="20" t="n">
        <f aca="false">H9+H27</f>
        <v>2818877</v>
      </c>
      <c r="I46" s="103" t="n">
        <f aca="false">F46/H46</f>
        <v>0.0225034173909219</v>
      </c>
      <c r="J46" s="24" t="n">
        <f aca="false">C46/H46</f>
        <v>0.128508764305786</v>
      </c>
      <c r="L46" s="91" t="s">
        <v>26</v>
      </c>
      <c r="M46" s="20" t="n">
        <f aca="false">C46</f>
        <v>362250.4</v>
      </c>
      <c r="N46" s="101" t="n">
        <f aca="false">F46</f>
        <v>63434.3657046698</v>
      </c>
      <c r="O46" s="102" t="n">
        <f aca="false">N46/M46</f>
        <v>0.175111927287505</v>
      </c>
      <c r="P46" s="20" t="n">
        <f aca="false">H46</f>
        <v>2818877</v>
      </c>
      <c r="Q46" s="103" t="n">
        <f aca="false">N46/P46</f>
        <v>0.0225034173909219</v>
      </c>
    </row>
    <row r="47" customFormat="false" ht="14.25" hidden="false" customHeight="false" outlineLevel="0" collapsed="false">
      <c r="B47" s="91" t="s">
        <v>27</v>
      </c>
      <c r="C47" s="20" t="n">
        <f aca="false">C10+C28</f>
        <v>410035</v>
      </c>
      <c r="D47" s="104" t="n">
        <f aca="false">D10+D28</f>
        <v>89326052</v>
      </c>
      <c r="E47" s="21" t="n">
        <f aca="false">E10</f>
        <v>1213</v>
      </c>
      <c r="F47" s="101" t="n">
        <f aca="false">D47/E47</f>
        <v>73640.6034624897</v>
      </c>
      <c r="G47" s="102" t="n">
        <f aca="false">F47/C47</f>
        <v>0.179595896600265</v>
      </c>
      <c r="H47" s="20" t="n">
        <f aca="false">H10+H28</f>
        <v>2804727</v>
      </c>
      <c r="I47" s="103" t="n">
        <f aca="false">F47/H47</f>
        <v>0.0262558899538136</v>
      </c>
      <c r="J47" s="24" t="n">
        <f aca="false">C47/H47</f>
        <v>0.146194264183288</v>
      </c>
      <c r="L47" s="91" t="s">
        <v>27</v>
      </c>
      <c r="M47" s="20" t="n">
        <f aca="false">C47</f>
        <v>410035</v>
      </c>
      <c r="N47" s="101" t="n">
        <f aca="false">F47</f>
        <v>73640.6034624897</v>
      </c>
      <c r="O47" s="102" t="n">
        <f aca="false">N47/M47</f>
        <v>0.179595896600265</v>
      </c>
      <c r="P47" s="20" t="n">
        <f aca="false">H47</f>
        <v>2804727</v>
      </c>
      <c r="Q47" s="103" t="n">
        <f aca="false">N47/P47</f>
        <v>0.0262558899538136</v>
      </c>
    </row>
    <row r="48" customFormat="false" ht="14.25" hidden="false" customHeight="false" outlineLevel="0" collapsed="false">
      <c r="B48" s="91" t="s">
        <v>28</v>
      </c>
      <c r="C48" s="20" t="n">
        <f aca="false">C11+C29</f>
        <v>446424.95</v>
      </c>
      <c r="D48" s="104" t="n">
        <f aca="false">D11+D29</f>
        <v>95807726</v>
      </c>
      <c r="E48" s="21" t="n">
        <f aca="false">E11</f>
        <v>1325</v>
      </c>
      <c r="F48" s="101" t="n">
        <f aca="false">D48/E48</f>
        <v>72307.7177358491</v>
      </c>
      <c r="G48" s="102" t="n">
        <f aca="false">F48/C48</f>
        <v>0.161970601633822</v>
      </c>
      <c r="H48" s="20" t="n">
        <f aca="false">H11+H29</f>
        <v>3024982</v>
      </c>
      <c r="I48" s="103" t="n">
        <f aca="false">F48/H48</f>
        <v>0.0239035199997385</v>
      </c>
      <c r="J48" s="24" t="n">
        <f aca="false">C48/H48</f>
        <v>0.147579374026027</v>
      </c>
      <c r="L48" s="91" t="s">
        <v>28</v>
      </c>
      <c r="M48" s="20" t="n">
        <f aca="false">C48</f>
        <v>446424.95</v>
      </c>
      <c r="N48" s="101" t="n">
        <f aca="false">F48</f>
        <v>72307.7177358491</v>
      </c>
      <c r="O48" s="102" t="n">
        <f aca="false">N48/M48</f>
        <v>0.161970601633822</v>
      </c>
      <c r="P48" s="20" t="n">
        <f aca="false">H48</f>
        <v>3024982</v>
      </c>
      <c r="Q48" s="103" t="n">
        <f aca="false">N48/P48</f>
        <v>0.0239035199997385</v>
      </c>
    </row>
    <row r="49" customFormat="false" ht="14.25" hidden="false" customHeight="false" outlineLevel="0" collapsed="false">
      <c r="B49" s="91" t="s">
        <v>29</v>
      </c>
      <c r="C49" s="20" t="n">
        <f aca="false">C12+C30</f>
        <v>375860</v>
      </c>
      <c r="D49" s="104" t="n">
        <f aca="false">D12+D30</f>
        <v>85899651.1</v>
      </c>
      <c r="E49" s="21" t="n">
        <f aca="false">E12</f>
        <v>1360</v>
      </c>
      <c r="F49" s="101" t="n">
        <f aca="false">D49/E49</f>
        <v>63161.5081617647</v>
      </c>
      <c r="G49" s="102" t="n">
        <f aca="false">F49/C49</f>
        <v>0.168045304532977</v>
      </c>
      <c r="H49" s="20" t="n">
        <f aca="false">H12+H30</f>
        <v>3040436</v>
      </c>
      <c r="I49" s="103" t="n">
        <f aca="false">F49/H49</f>
        <v>0.0207738324903944</v>
      </c>
      <c r="J49" s="24" t="n">
        <f aca="false">C49/H49</f>
        <v>0.123620428122809</v>
      </c>
      <c r="L49" s="91" t="s">
        <v>29</v>
      </c>
      <c r="M49" s="20" t="n">
        <f aca="false">C49</f>
        <v>375860</v>
      </c>
      <c r="N49" s="101" t="n">
        <f aca="false">F49</f>
        <v>63161.5081617647</v>
      </c>
      <c r="O49" s="102" t="n">
        <f aca="false">N49/M49</f>
        <v>0.168045304532977</v>
      </c>
      <c r="P49" s="20" t="n">
        <f aca="false">H49</f>
        <v>3040436</v>
      </c>
      <c r="Q49" s="103" t="n">
        <f aca="false">N49/P49</f>
        <v>0.0207738324903944</v>
      </c>
    </row>
    <row r="50" customFormat="false" ht="14.25" hidden="false" customHeight="false" outlineLevel="0" collapsed="false">
      <c r="B50" s="91" t="s">
        <v>30</v>
      </c>
      <c r="C50" s="20" t="n">
        <f aca="false">C13+C31</f>
        <v>435766</v>
      </c>
      <c r="D50" s="104" t="n">
        <f aca="false">D13+D31</f>
        <v>111461244</v>
      </c>
      <c r="E50" s="21" t="n">
        <v>1450</v>
      </c>
      <c r="F50" s="101" t="n">
        <f aca="false">D50/E50</f>
        <v>76869.8234482759</v>
      </c>
      <c r="G50" s="102" t="n">
        <f aca="false">F50/C50</f>
        <v>0.176401608772313</v>
      </c>
      <c r="H50" s="20" t="n">
        <f aca="false">H13+H31</f>
        <v>2896236</v>
      </c>
      <c r="I50" s="103" t="n">
        <f aca="false">F50/H50</f>
        <v>0.0265412844285741</v>
      </c>
      <c r="J50" s="24" t="n">
        <f aca="false">C50/H50</f>
        <v>0.150459423886727</v>
      </c>
      <c r="L50" s="91" t="s">
        <v>30</v>
      </c>
      <c r="M50" s="20" t="n">
        <f aca="false">C50</f>
        <v>435766</v>
      </c>
      <c r="N50" s="101" t="n">
        <f aca="false">F50</f>
        <v>76869.8234482759</v>
      </c>
      <c r="O50" s="102" t="n">
        <f aca="false">N50/M50</f>
        <v>0.176401608772313</v>
      </c>
      <c r="P50" s="20" t="n">
        <f aca="false">H50</f>
        <v>2896236</v>
      </c>
      <c r="Q50" s="103" t="n">
        <f aca="false">N50/P50</f>
        <v>0.0265412844285741</v>
      </c>
    </row>
    <row r="51" customFormat="false" ht="14.25" hidden="false" customHeight="false" outlineLevel="0" collapsed="false">
      <c r="B51" s="91" t="s">
        <v>31</v>
      </c>
      <c r="C51" s="20" t="n">
        <f aca="false">C14+C32</f>
        <v>405117</v>
      </c>
      <c r="D51" s="104" t="n">
        <f aca="false">D14+D32</f>
        <v>100297455</v>
      </c>
      <c r="E51" s="21" t="n">
        <f aca="false">E14</f>
        <v>1435</v>
      </c>
      <c r="F51" s="101" t="n">
        <f aca="false">D51/E51</f>
        <v>69893.6968641115</v>
      </c>
      <c r="G51" s="102" t="n">
        <f aca="false">F51/C51</f>
        <v>0.172527188106427</v>
      </c>
      <c r="H51" s="20" t="n">
        <f aca="false">H14+H32</f>
        <v>2715838</v>
      </c>
      <c r="I51" s="103" t="n">
        <f aca="false">F51/H51</f>
        <v>0.025735591321762</v>
      </c>
      <c r="J51" s="24" t="n">
        <f aca="false">C51/H51</f>
        <v>0.14916832300012</v>
      </c>
      <c r="L51" s="91" t="s">
        <v>31</v>
      </c>
      <c r="M51" s="20" t="n">
        <f aca="false">C51</f>
        <v>405117</v>
      </c>
      <c r="N51" s="101" t="n">
        <f aca="false">F51</f>
        <v>69893.6968641115</v>
      </c>
      <c r="O51" s="102" t="n">
        <f aca="false">N51/M51</f>
        <v>0.172527188106427</v>
      </c>
      <c r="P51" s="20" t="n">
        <f aca="false">H51</f>
        <v>2715838</v>
      </c>
      <c r="Q51" s="103" t="n">
        <f aca="false">N51/P51</f>
        <v>0.025735591321762</v>
      </c>
    </row>
    <row r="52" customFormat="false" ht="14.25" hidden="false" customHeight="false" outlineLevel="0" collapsed="false">
      <c r="B52" s="91" t="s">
        <v>32</v>
      </c>
      <c r="C52" s="20" t="n">
        <f aca="false">C15+C33</f>
        <v>449673</v>
      </c>
      <c r="D52" s="104" t="n">
        <f aca="false">D15+D33</f>
        <v>105751394.4</v>
      </c>
      <c r="E52" s="21" t="n">
        <f aca="false">E15</f>
        <v>1450</v>
      </c>
      <c r="F52" s="101" t="n">
        <f aca="false">D52/E52</f>
        <v>72931.996137931</v>
      </c>
      <c r="G52" s="102" t="n">
        <f aca="false">F52/C52</f>
        <v>0.162188959839552</v>
      </c>
      <c r="H52" s="20" t="n">
        <f aca="false">H15+H33</f>
        <v>1933070</v>
      </c>
      <c r="I52" s="103" t="n">
        <f aca="false">F52/H52</f>
        <v>0.0377285851717377</v>
      </c>
      <c r="J52" s="24" t="n">
        <f aca="false">C52/H52</f>
        <v>0.2326211673659</v>
      </c>
      <c r="L52" s="91" t="s">
        <v>32</v>
      </c>
      <c r="M52" s="20" t="n">
        <f aca="false">C52</f>
        <v>449673</v>
      </c>
      <c r="N52" s="101" t="n">
        <f aca="false">F52</f>
        <v>72931.996137931</v>
      </c>
      <c r="O52" s="102" t="n">
        <f aca="false">N52/M52</f>
        <v>0.162188959839552</v>
      </c>
      <c r="P52" s="20" t="n">
        <f aca="false">H52</f>
        <v>1933070</v>
      </c>
      <c r="Q52" s="103" t="n">
        <f aca="false">N52/P52</f>
        <v>0.0377285851717377</v>
      </c>
    </row>
    <row r="53" customFormat="false" ht="14.25" hidden="false" customHeight="false" outlineLevel="0" collapsed="false">
      <c r="B53" s="91" t="s">
        <v>33</v>
      </c>
      <c r="C53" s="20" t="n">
        <f aca="false">C16+C34</f>
        <v>328647</v>
      </c>
      <c r="D53" s="20" t="n">
        <f aca="false">D16+D34</f>
        <v>92655714</v>
      </c>
      <c r="E53" s="21" t="n">
        <f aca="false">E16</f>
        <v>1464</v>
      </c>
      <c r="F53" s="101" t="n">
        <f aca="false">D53/E53</f>
        <v>63289.4221311475</v>
      </c>
      <c r="G53" s="102" t="n">
        <f aca="false">F53/C53</f>
        <v>0.192575687990907</v>
      </c>
      <c r="H53" s="20" t="n">
        <f aca="false">H16+H34</f>
        <v>1415549</v>
      </c>
      <c r="I53" s="103" t="n">
        <f aca="false">F53/H53</f>
        <v>0.0447101598963706</v>
      </c>
      <c r="J53" s="24" t="n">
        <f aca="false">C53/H53</f>
        <v>0.232169285556346</v>
      </c>
      <c r="L53" s="91" t="s">
        <v>33</v>
      </c>
      <c r="M53" s="20" t="n">
        <f aca="false">C53</f>
        <v>328647</v>
      </c>
      <c r="N53" s="101" t="n">
        <f aca="false">F53</f>
        <v>63289.4221311475</v>
      </c>
      <c r="O53" s="102" t="n">
        <f aca="false">N53/M53</f>
        <v>0.192575687990907</v>
      </c>
      <c r="P53" s="20" t="n">
        <f aca="false">H53</f>
        <v>1415549</v>
      </c>
      <c r="Q53" s="103" t="n">
        <f aca="false">N53/P53</f>
        <v>0.0447101598963706</v>
      </c>
    </row>
    <row r="54" customFormat="false" ht="14.25" hidden="false" customHeight="false" outlineLevel="0" collapsed="false">
      <c r="L54" s="105" t="s">
        <v>35</v>
      </c>
      <c r="M54" s="106"/>
      <c r="N54" s="107" t="n">
        <f aca="false">F56</f>
        <v>67289.767585342</v>
      </c>
      <c r="O54" s="108" t="n">
        <f aca="false">G56</f>
        <v>0.18298167824586</v>
      </c>
      <c r="P54" s="109"/>
      <c r="Q54" s="110" t="n">
        <f aca="false">I56</f>
        <v>0.0333785052408256</v>
      </c>
    </row>
    <row r="55" customFormat="false" ht="14.25" hidden="false" customHeight="false" outlineLevel="0" collapsed="false">
      <c r="B55" s="25" t="s">
        <v>34</v>
      </c>
      <c r="C55" s="26" t="n">
        <f aca="false">SUM(C42:C53)</f>
        <v>4472908.35</v>
      </c>
      <c r="D55" s="26"/>
      <c r="E55" s="26"/>
      <c r="F55" s="26" t="n">
        <f aca="false">SUM(F42:F53)</f>
        <v>807477.211024104</v>
      </c>
      <c r="G55" s="26"/>
      <c r="H55" s="26" t="n">
        <f aca="false">SUM(H42:H53)</f>
        <v>24191533</v>
      </c>
      <c r="M55" s="111"/>
      <c r="O55" s="112"/>
      <c r="P55" s="111"/>
      <c r="Q55" s="113"/>
    </row>
    <row r="56" customFormat="false" ht="14.25" hidden="false" customHeight="false" outlineLevel="0" collapsed="false">
      <c r="B56" s="114" t="s">
        <v>35</v>
      </c>
      <c r="C56" s="115"/>
      <c r="D56" s="115"/>
      <c r="E56" s="115"/>
      <c r="F56" s="116" t="n">
        <f aca="false">AVERAGE(F42:F53)</f>
        <v>67289.767585342</v>
      </c>
      <c r="G56" s="117" t="n">
        <f aca="false">(G42*F42+G43*F43+G44*F44+G45*F45+G46*F46+G47*F47+G48*F48+G49*F49+G50*F50+G51*F51+G52*F52+G53*F53)/F55</f>
        <v>0.18298167824586</v>
      </c>
      <c r="H56" s="118"/>
      <c r="I56" s="117" t="n">
        <f aca="false">(I42*H42+I43*H43+I44*H44+I45*H45+I46*H46+I47*H47+I48*H48+I49*H49+I50*H50+H51*I51+H52*I52+H53*I53)/H55</f>
        <v>0.0333785052408256</v>
      </c>
      <c r="J56" s="119" t="n">
        <f aca="false">(J42*H42+J43*H43+J44*H44+J45*H45+J46*H46+J47*H47+J48*J48+J49*H49+J50*H50+J51*H51+J52*H52+J53*H53)/H55</f>
        <v>0.166441846483217</v>
      </c>
      <c r="M56" s="111"/>
      <c r="P56" s="112"/>
      <c r="Q56" s="111"/>
    </row>
    <row r="57" customFormat="false" ht="14.25" hidden="false" customHeight="false" outlineLevel="0" collapsed="false">
      <c r="M57" s="111"/>
      <c r="Q57" s="112"/>
    </row>
    <row r="58" customFormat="false" ht="14.25" hidden="false" customHeight="false" outlineLevel="0" collapsed="false">
      <c r="M58" s="111"/>
    </row>
    <row r="59" customFormat="false" ht="14.25" hidden="false" customHeight="false" outlineLevel="0" collapsed="false">
      <c r="M59" s="111"/>
    </row>
    <row r="60" customFormat="false" ht="14.25" hidden="false" customHeight="false" outlineLevel="0" collapsed="false">
      <c r="M60" s="111"/>
    </row>
    <row r="61" customFormat="false" ht="14.25" hidden="false" customHeight="false" outlineLevel="0" collapsed="false">
      <c r="M61" s="111"/>
    </row>
    <row r="62" customFormat="false" ht="14.25" hidden="false" customHeight="false" outlineLevel="0" collapsed="false">
      <c r="M62" s="111"/>
    </row>
    <row r="63" customFormat="false" ht="14.25" hidden="false" customHeight="false" outlineLevel="0" collapsed="false">
      <c r="M63" s="111"/>
    </row>
    <row r="64" customFormat="false" ht="14.25" hidden="false" customHeight="false" outlineLevel="0" collapsed="false">
      <c r="M64" s="111"/>
    </row>
    <row r="65" customFormat="false" ht="14.25" hidden="false" customHeight="false" outlineLevel="0" collapsed="false">
      <c r="M65" s="111"/>
    </row>
    <row r="66" customFormat="false" ht="14.25" hidden="false" customHeight="false" outlineLevel="0" collapsed="false">
      <c r="M66" s="111"/>
    </row>
    <row r="67" customFormat="false" ht="14.25" hidden="false" customHeight="false" outlineLevel="0" collapsed="false">
      <c r="M67" s="111"/>
    </row>
    <row r="68" customFormat="false" ht="14.25" hidden="false" customHeight="false" outlineLevel="0" collapsed="false">
      <c r="M68" s="111"/>
    </row>
    <row r="69" customFormat="false" ht="14.25" hidden="false" customHeight="false" outlineLevel="0" collapsed="false">
      <c r="M69" s="111"/>
    </row>
    <row r="70" customFormat="false" ht="14.25" hidden="false" customHeight="false" outlineLevel="0" collapsed="false">
      <c r="M70" s="111"/>
    </row>
    <row r="71" customFormat="false" ht="14.25" hidden="false" customHeight="false" outlineLevel="0" collapsed="false">
      <c r="M71" s="111"/>
    </row>
    <row r="72" customFormat="false" ht="14.25" hidden="false" customHeight="false" outlineLevel="0" collapsed="false">
      <c r="M72" s="111"/>
    </row>
    <row r="73" customFormat="false" ht="14.25" hidden="false" customHeight="false" outlineLevel="0" collapsed="false">
      <c r="M73" s="111"/>
    </row>
    <row r="74" customFormat="false" ht="14.25" hidden="false" customHeight="false" outlineLevel="0" collapsed="false">
      <c r="M74" s="111"/>
    </row>
    <row r="75" customFormat="false" ht="14.25" hidden="false" customHeight="false" outlineLevel="0" collapsed="false">
      <c r="M75" s="111"/>
    </row>
    <row r="76" customFormat="false" ht="14.25" hidden="false" customHeight="false" outlineLevel="0" collapsed="false">
      <c r="M76" s="111"/>
    </row>
    <row r="77" customFormat="false" ht="14.25" hidden="false" customHeight="false" outlineLevel="0" collapsed="false">
      <c r="M77" s="111"/>
    </row>
    <row r="78" customFormat="false" ht="14.25" hidden="false" customHeight="false" outlineLevel="0" collapsed="false">
      <c r="M78" s="111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I21" colorId="64" zoomScale="100" zoomScaleNormal="100" zoomScalePageLayoutView="100" workbookViewId="0">
      <selection pane="topLeft" activeCell="R2" activeCellId="0" sqref="R2"/>
    </sheetView>
  </sheetViews>
  <sheetFormatPr defaultColWidth="10.59765625" defaultRowHeight="14.25" zeroHeight="false" outlineLevelRow="0" outlineLevelCol="0"/>
  <sheetData>
    <row r="1" customFormat="false" ht="19.7" hidden="false" customHeight="false" outlineLevel="0" collapsed="false">
      <c r="B1" s="120" t="n">
        <v>2025</v>
      </c>
    </row>
    <row r="2" customFormat="false" ht="17.35" hidden="false" customHeight="false" outlineLevel="0" collapsed="false">
      <c r="B2" s="121" t="s">
        <v>44</v>
      </c>
      <c r="C2" s="61"/>
      <c r="D2" s="61"/>
      <c r="J2" s="121" t="s">
        <v>44</v>
      </c>
      <c r="K2" s="61"/>
      <c r="R2" s="121" t="s">
        <v>44</v>
      </c>
      <c r="S2" s="61"/>
    </row>
    <row r="3" customFormat="false" ht="14.25" hidden="false" customHeight="false" outlineLevel="0" collapsed="false">
      <c r="B3" s="87" t="s">
        <v>69</v>
      </c>
      <c r="J3" s="87" t="s">
        <v>70</v>
      </c>
      <c r="R3" s="87" t="s">
        <v>71</v>
      </c>
    </row>
    <row r="4" customFormat="false" ht="14.25" hidden="false" customHeight="false" outlineLevel="0" collapsed="false">
      <c r="C4" s="16" t="s">
        <v>57</v>
      </c>
      <c r="K4" s="16" t="s">
        <v>57</v>
      </c>
      <c r="S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datos25!C5</f>
        <v>148340</v>
      </c>
      <c r="J5" s="16" t="s">
        <v>22</v>
      </c>
      <c r="K5" s="46" t="n">
        <f aca="false">datos25!C23</f>
        <v>61020</v>
      </c>
      <c r="R5" s="16" t="s">
        <v>22</v>
      </c>
      <c r="S5" s="46" t="n">
        <f aca="false">datos25!C42</f>
        <v>209360</v>
      </c>
    </row>
    <row r="6" customFormat="false" ht="14.25" hidden="false" customHeight="false" outlineLevel="0" collapsed="false">
      <c r="B6" s="16" t="s">
        <v>23</v>
      </c>
      <c r="C6" s="46" t="n">
        <f aca="false">datos25!C6</f>
        <v>161773</v>
      </c>
      <c r="J6" s="16" t="s">
        <v>23</v>
      </c>
      <c r="K6" s="46" t="n">
        <f aca="false">datos25!C24</f>
        <v>198072</v>
      </c>
      <c r="R6" s="16" t="s">
        <v>23</v>
      </c>
      <c r="S6" s="46" t="n">
        <f aca="false">datos25!C43</f>
        <v>359845</v>
      </c>
    </row>
    <row r="7" customFormat="false" ht="14.25" hidden="false" customHeight="false" outlineLevel="0" collapsed="false">
      <c r="B7" s="16" t="s">
        <v>24</v>
      </c>
      <c r="C7" s="46" t="n">
        <f aca="false">datos25!C7</f>
        <v>151287</v>
      </c>
      <c r="J7" s="16" t="s">
        <v>24</v>
      </c>
      <c r="K7" s="46" t="n">
        <f aca="false">datos25!C25</f>
        <v>179748</v>
      </c>
      <c r="R7" s="16" t="s">
        <v>24</v>
      </c>
      <c r="S7" s="46" t="n">
        <f aca="false">datos25!C44</f>
        <v>331035</v>
      </c>
    </row>
    <row r="8" customFormat="false" ht="14.25" hidden="false" customHeight="false" outlineLevel="0" collapsed="false">
      <c r="B8" s="16" t="s">
        <v>25</v>
      </c>
      <c r="C8" s="46" t="n">
        <f aca="false">datos25!C8</f>
        <v>213995</v>
      </c>
      <c r="J8" s="16" t="s">
        <v>25</v>
      </c>
      <c r="K8" s="46" t="n">
        <f aca="false">datos25!C26</f>
        <v>144900</v>
      </c>
      <c r="R8" s="16" t="s">
        <v>25</v>
      </c>
      <c r="S8" s="46" t="n">
        <f aca="false">datos25!C45</f>
        <v>358895</v>
      </c>
    </row>
    <row r="9" customFormat="false" ht="14.25" hidden="false" customHeight="false" outlineLevel="0" collapsed="false">
      <c r="B9" s="16" t="s">
        <v>26</v>
      </c>
      <c r="C9" s="46" t="n">
        <f aca="false">datos25!C9</f>
        <v>219258.4</v>
      </c>
      <c r="J9" s="16" t="s">
        <v>26</v>
      </c>
      <c r="K9" s="46" t="n">
        <f aca="false">datos25!C27</f>
        <v>142992</v>
      </c>
      <c r="R9" s="16" t="s">
        <v>26</v>
      </c>
      <c r="S9" s="46" t="n">
        <f aca="false">datos25!C46</f>
        <v>362250.4</v>
      </c>
    </row>
    <row r="10" customFormat="false" ht="14.25" hidden="false" customHeight="false" outlineLevel="0" collapsed="false">
      <c r="B10" s="16" t="s">
        <v>27</v>
      </c>
      <c r="C10" s="46" t="n">
        <f aca="false">datos25!C10</f>
        <v>256315</v>
      </c>
      <c r="J10" s="16" t="s">
        <v>27</v>
      </c>
      <c r="K10" s="46" t="n">
        <f aca="false">datos25!C28</f>
        <v>153720</v>
      </c>
      <c r="R10" s="16" t="s">
        <v>27</v>
      </c>
      <c r="S10" s="46" t="n">
        <f aca="false">datos25!C47</f>
        <v>410035</v>
      </c>
    </row>
    <row r="11" customFormat="false" ht="14.25" hidden="false" customHeight="false" outlineLevel="0" collapsed="false">
      <c r="B11" s="16" t="s">
        <v>28</v>
      </c>
      <c r="C11" s="46" t="n">
        <f aca="false">datos25!C11</f>
        <v>266424.95</v>
      </c>
      <c r="J11" s="16" t="s">
        <v>28</v>
      </c>
      <c r="K11" s="46" t="n">
        <f aca="false">datos25!C29</f>
        <v>180000</v>
      </c>
      <c r="R11" s="16" t="s">
        <v>28</v>
      </c>
      <c r="S11" s="46" t="n">
        <f aca="false">datos25!C48</f>
        <v>446424.95</v>
      </c>
    </row>
    <row r="12" customFormat="false" ht="14.25" hidden="false" customHeight="false" outlineLevel="0" collapsed="false">
      <c r="B12" s="16" t="s">
        <v>29</v>
      </c>
      <c r="C12" s="46" t="n">
        <f aca="false">datos25!C12</f>
        <v>238700</v>
      </c>
      <c r="J12" s="16" t="s">
        <v>29</v>
      </c>
      <c r="K12" s="46" t="n">
        <f aca="false">datos25!C30</f>
        <v>137160</v>
      </c>
      <c r="R12" s="16" t="s">
        <v>29</v>
      </c>
      <c r="S12" s="46" t="n">
        <f aca="false">datos25!C49</f>
        <v>375860</v>
      </c>
    </row>
    <row r="13" customFormat="false" ht="14.25" hidden="false" customHeight="false" outlineLevel="0" collapsed="false">
      <c r="B13" s="16" t="s">
        <v>30</v>
      </c>
      <c r="C13" s="46" t="n">
        <f aca="false">datos25!C13</f>
        <v>256630</v>
      </c>
      <c r="J13" s="16" t="s">
        <v>30</v>
      </c>
      <c r="K13" s="46" t="n">
        <f aca="false">datos25!C31</f>
        <v>179136</v>
      </c>
      <c r="R13" s="16" t="s">
        <v>30</v>
      </c>
      <c r="S13" s="46" t="n">
        <f aca="false">datos25!C50</f>
        <v>435766</v>
      </c>
    </row>
    <row r="14" customFormat="false" ht="14.25" hidden="false" customHeight="false" outlineLevel="0" collapsed="false">
      <c r="B14" s="16" t="s">
        <v>31</v>
      </c>
      <c r="C14" s="46" t="n">
        <f aca="false">datos25!C14</f>
        <v>231633</v>
      </c>
      <c r="J14" s="16" t="s">
        <v>31</v>
      </c>
      <c r="K14" s="46" t="n">
        <f aca="false">datos25!C32</f>
        <v>173484</v>
      </c>
      <c r="R14" s="16" t="s">
        <v>31</v>
      </c>
      <c r="S14" s="46" t="n">
        <f aca="false">datos25!C51</f>
        <v>405117</v>
      </c>
    </row>
    <row r="15" customFormat="false" ht="14.25" hidden="false" customHeight="false" outlineLevel="0" collapsed="false">
      <c r="B15" s="16" t="s">
        <v>32</v>
      </c>
      <c r="C15" s="46" t="n">
        <f aca="false">datos25!C15</f>
        <v>270285</v>
      </c>
      <c r="J15" s="16" t="s">
        <v>32</v>
      </c>
      <c r="K15" s="46" t="n">
        <f aca="false">datos25!C33</f>
        <v>179388</v>
      </c>
      <c r="R15" s="16" t="s">
        <v>32</v>
      </c>
      <c r="S15" s="46" t="n">
        <f aca="false">datos25!C52</f>
        <v>449673</v>
      </c>
    </row>
    <row r="16" customFormat="false" ht="14.25" hidden="false" customHeight="false" outlineLevel="0" collapsed="false">
      <c r="B16" s="16" t="s">
        <v>33</v>
      </c>
      <c r="C16" s="46" t="n">
        <f aca="false">datos25!C16</f>
        <v>202899</v>
      </c>
      <c r="J16" s="16" t="s">
        <v>33</v>
      </c>
      <c r="K16" s="46" t="n">
        <f aca="false">datos25!C34</f>
        <v>125748</v>
      </c>
      <c r="R16" s="16" t="s">
        <v>33</v>
      </c>
      <c r="S16" s="46" t="n">
        <f aca="false">datos25!C53</f>
        <v>328647</v>
      </c>
    </row>
    <row r="17" customFormat="false" ht="14.25" hidden="false" customHeight="false" outlineLevel="0" collapsed="false">
      <c r="B17" s="122" t="s">
        <v>40</v>
      </c>
      <c r="C17" s="123" t="n">
        <f aca="false">AVERAGE(C5:C16)</f>
        <v>218128.3625</v>
      </c>
      <c r="J17" s="124" t="s">
        <v>40</v>
      </c>
      <c r="K17" s="125" t="n">
        <f aca="false">AVERAGE(K5:K16)</f>
        <v>154614</v>
      </c>
      <c r="R17" s="124" t="s">
        <v>40</v>
      </c>
      <c r="S17" s="125" t="n">
        <f aca="false">AVERAGE(S5:S16)</f>
        <v>372742.3625</v>
      </c>
    </row>
    <row r="19" customFormat="false" ht="17.35" hidden="false" customHeight="false" outlineLevel="0" collapsed="false">
      <c r="B19" s="121" t="s">
        <v>48</v>
      </c>
      <c r="C19" s="61"/>
      <c r="D19" s="61"/>
      <c r="J19" s="121" t="s">
        <v>48</v>
      </c>
      <c r="K19" s="61"/>
      <c r="R19" s="121" t="s">
        <v>48</v>
      </c>
      <c r="S19" s="61"/>
    </row>
    <row r="20" customFormat="false" ht="14.25" hidden="false" customHeight="false" outlineLevel="0" collapsed="false">
      <c r="C20" s="16" t="s">
        <v>18</v>
      </c>
      <c r="K20" s="16" t="s">
        <v>18</v>
      </c>
      <c r="S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datos25!G5</f>
        <v>0.193901579716837</v>
      </c>
      <c r="J21" s="16" t="s">
        <v>22</v>
      </c>
      <c r="K21" s="52" t="n">
        <f aca="false">datos25!G23</f>
        <v>0.43455354260013</v>
      </c>
      <c r="R21" s="16" t="s">
        <v>22</v>
      </c>
      <c r="S21" s="52" t="n">
        <f aca="false">datos25!G42</f>
        <v>0.264041925413907</v>
      </c>
    </row>
    <row r="22" customFormat="false" ht="14.25" hidden="false" customHeight="false" outlineLevel="0" collapsed="false">
      <c r="B22" s="16" t="s">
        <v>23</v>
      </c>
      <c r="C22" s="52" t="n">
        <f aca="false">datos25!G6</f>
        <v>0.201265728527672</v>
      </c>
      <c r="J22" s="16" t="s">
        <v>23</v>
      </c>
      <c r="K22" s="52" t="n">
        <f aca="false">datos25!G24</f>
        <v>0.171110832223371</v>
      </c>
      <c r="R22" s="16" t="s">
        <v>23</v>
      </c>
      <c r="S22" s="52" t="n">
        <f aca="false">datos25!G43</f>
        <v>0.184667358060428</v>
      </c>
    </row>
    <row r="23" customFormat="false" ht="14.25" hidden="false" customHeight="false" outlineLevel="0" collapsed="false">
      <c r="B23" s="16" t="s">
        <v>24</v>
      </c>
      <c r="C23" s="52" t="n">
        <f aca="false">datos25!G7</f>
        <v>0.218225933495484</v>
      </c>
      <c r="J23" s="16" t="s">
        <v>24</v>
      </c>
      <c r="K23" s="52" t="n">
        <f aca="false">datos25!G25</f>
        <v>0.172644424111286</v>
      </c>
      <c r="R23" s="16" t="s">
        <v>24</v>
      </c>
      <c r="S23" s="52" t="n">
        <f aca="false">datos25!G44</f>
        <v>0.193475725364045</v>
      </c>
    </row>
    <row r="24" customFormat="false" ht="14.25" hidden="false" customHeight="false" outlineLevel="0" collapsed="false">
      <c r="B24" s="16" t="s">
        <v>25</v>
      </c>
      <c r="C24" s="52" t="n">
        <f aca="false">datos25!G8</f>
        <v>0.18570685492702</v>
      </c>
      <c r="J24" s="16" t="s">
        <v>25</v>
      </c>
      <c r="K24" s="52" t="n">
        <f aca="false">datos25!G26</f>
        <v>0.182395163878264</v>
      </c>
      <c r="R24" s="16" t="s">
        <v>25</v>
      </c>
      <c r="S24" s="52" t="n">
        <f aca="false">datos25!G45</f>
        <v>0.184369795249497</v>
      </c>
    </row>
    <row r="25" customFormat="false" ht="14.25" hidden="false" customHeight="false" outlineLevel="0" collapsed="false">
      <c r="B25" s="16" t="s">
        <v>26</v>
      </c>
      <c r="C25" s="52" t="n">
        <f aca="false">datos25!G9</f>
        <v>0.179836034111118</v>
      </c>
      <c r="J25" s="16" t="s">
        <v>26</v>
      </c>
      <c r="K25" s="52" t="n">
        <f aca="false">datos25!G27</f>
        <v>0.177985184636306</v>
      </c>
      <c r="R25" s="16" t="s">
        <v>26</v>
      </c>
      <c r="S25" s="52" t="n">
        <f aca="false">datos25!G46</f>
        <v>0.175111927287505</v>
      </c>
    </row>
    <row r="26" customFormat="false" ht="14.25" hidden="false" customHeight="false" outlineLevel="0" collapsed="false">
      <c r="B26" s="16" t="s">
        <v>27</v>
      </c>
      <c r="C26" s="52" t="n">
        <f aca="false">datos25!G10</f>
        <v>0.178241243662416</v>
      </c>
      <c r="J26" s="16" t="s">
        <v>27</v>
      </c>
      <c r="K26" s="52" t="n">
        <f aca="false">datos25!G28</f>
        <v>0.181854664930767</v>
      </c>
      <c r="R26" s="16" t="s">
        <v>27</v>
      </c>
      <c r="S26" s="52" t="n">
        <f aca="false">datos25!G47</f>
        <v>0.179595896600265</v>
      </c>
    </row>
    <row r="27" customFormat="false" ht="14.25" hidden="false" customHeight="false" outlineLevel="0" collapsed="false">
      <c r="B27" s="16" t="s">
        <v>28</v>
      </c>
      <c r="C27" s="52" t="n">
        <f aca="false">datos25!G11</f>
        <v>0.166432661749231</v>
      </c>
      <c r="J27" s="16" t="s">
        <v>28</v>
      </c>
      <c r="K27" s="52" t="n">
        <f aca="false">datos25!G29</f>
        <v>0.155366134171908</v>
      </c>
      <c r="R27" s="16" t="s">
        <v>28</v>
      </c>
      <c r="S27" s="52" t="n">
        <f aca="false">datos25!G48</f>
        <v>0.161970601633822</v>
      </c>
    </row>
    <row r="28" customFormat="false" ht="14.25" hidden="false" customHeight="false" outlineLevel="0" collapsed="false">
      <c r="B28" s="16" t="s">
        <v>29</v>
      </c>
      <c r="C28" s="52" t="n">
        <f aca="false">datos25!G12</f>
        <v>0.157042801695458</v>
      </c>
      <c r="J28" s="16" t="s">
        <v>29</v>
      </c>
      <c r="K28" s="52" t="n">
        <f aca="false">datos25!G30</f>
        <v>0.187192996478994</v>
      </c>
      <c r="R28" s="16" t="s">
        <v>29</v>
      </c>
      <c r="S28" s="52" t="n">
        <f aca="false">datos25!G49</f>
        <v>0.168045304532977</v>
      </c>
    </row>
    <row r="29" customFormat="false" ht="14.25" hidden="false" customHeight="false" outlineLevel="0" collapsed="false">
      <c r="B29" s="16" t="s">
        <v>30</v>
      </c>
      <c r="C29" s="52" t="n">
        <f aca="false">datos25!G13</f>
        <v>0.187840395566714</v>
      </c>
      <c r="J29" s="16" t="s">
        <v>30</v>
      </c>
      <c r="K29" s="52" t="n">
        <f aca="false">datos25!G31</f>
        <v>0.17533992927959</v>
      </c>
      <c r="R29" s="16" t="s">
        <v>30</v>
      </c>
      <c r="S29" s="52" t="n">
        <f aca="false">datos25!G50</f>
        <v>0.176401608772313</v>
      </c>
    </row>
    <row r="30" customFormat="false" ht="14.25" hidden="false" customHeight="false" outlineLevel="0" collapsed="false">
      <c r="B30" s="16" t="s">
        <v>31</v>
      </c>
      <c r="C30" s="52" t="n">
        <f aca="false">datos25!G14</f>
        <v>0.178856240973891</v>
      </c>
      <c r="J30" s="16" t="s">
        <v>31</v>
      </c>
      <c r="K30" s="52" t="n">
        <f aca="false">datos25!G32</f>
        <v>0.164076740210084</v>
      </c>
      <c r="R30" s="16" t="s">
        <v>31</v>
      </c>
      <c r="S30" s="52" t="n">
        <f aca="false">datos25!G51</f>
        <v>0.172527188106427</v>
      </c>
    </row>
    <row r="31" customFormat="false" ht="14.25" hidden="false" customHeight="false" outlineLevel="0" collapsed="false">
      <c r="B31" s="16" t="s">
        <v>32</v>
      </c>
      <c r="C31" s="52" t="n">
        <f aca="false">datos25!G15</f>
        <v>0.165111295420606</v>
      </c>
      <c r="J31" s="16" t="s">
        <v>32</v>
      </c>
      <c r="K31" s="52" t="n">
        <f aca="false">datos25!G33</f>
        <v>0.157785858893418</v>
      </c>
      <c r="R31" s="16" t="s">
        <v>32</v>
      </c>
      <c r="S31" s="52" t="n">
        <f aca="false">datos25!G52</f>
        <v>0.162188959839552</v>
      </c>
    </row>
    <row r="32" customFormat="false" ht="14.25" hidden="false" customHeight="false" outlineLevel="0" collapsed="false">
      <c r="B32" s="16" t="s">
        <v>33</v>
      </c>
      <c r="C32" s="52" t="n">
        <f aca="false">datos25!G16</f>
        <v>0.19037906205292</v>
      </c>
      <c r="J32" s="16" t="s">
        <v>33</v>
      </c>
      <c r="K32" s="52" t="n">
        <f aca="false">datos25!G34</f>
        <v>0.196120024331776</v>
      </c>
      <c r="R32" s="16" t="s">
        <v>33</v>
      </c>
      <c r="S32" s="52" t="n">
        <f aca="false">datos25!G53</f>
        <v>0.192575687990907</v>
      </c>
    </row>
    <row r="33" customFormat="false" ht="14.25" hidden="false" customHeight="false" outlineLevel="0" collapsed="false">
      <c r="A33" s="126"/>
      <c r="B33" s="127" t="s">
        <v>50</v>
      </c>
      <c r="C33" s="128" t="n">
        <f aca="false">datos25!G19</f>
        <v>0.182319249899335</v>
      </c>
      <c r="I33" s="126"/>
      <c r="J33" s="127" t="s">
        <v>50</v>
      </c>
      <c r="K33" s="128" t="n">
        <f aca="false">datos25!G37</f>
        <v>0.194652882503394</v>
      </c>
      <c r="R33" s="127" t="s">
        <v>50</v>
      </c>
      <c r="S33" s="128" t="n">
        <f aca="false">datos25!G56</f>
        <v>0.18298167824586</v>
      </c>
    </row>
    <row r="34" customFormat="false" ht="14.25" hidden="false" customHeight="false" outlineLevel="0" collapsed="false">
      <c r="B34" s="48"/>
      <c r="C34" s="55"/>
      <c r="J34" s="48"/>
      <c r="K34" s="55"/>
      <c r="R34" s="48"/>
      <c r="S34" s="55"/>
    </row>
    <row r="35" customFormat="false" ht="17.35" hidden="false" customHeight="false" outlineLevel="0" collapsed="false">
      <c r="B35" s="121" t="s">
        <v>52</v>
      </c>
      <c r="C35" s="61"/>
      <c r="J35" s="121" t="s">
        <v>52</v>
      </c>
      <c r="K35" s="61"/>
      <c r="R35" s="121" t="s">
        <v>52</v>
      </c>
      <c r="S35" s="61"/>
    </row>
    <row r="36" customFormat="false" ht="14.25" hidden="false" customHeight="false" outlineLevel="0" collapsed="false">
      <c r="B36" s="61"/>
      <c r="C36" s="67" t="s">
        <v>20</v>
      </c>
      <c r="J36" s="61"/>
      <c r="K36" s="67" t="s">
        <v>20</v>
      </c>
      <c r="R36" s="61"/>
      <c r="S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datos25!I5</f>
        <v>0.078664716692955</v>
      </c>
      <c r="J37" s="16" t="s">
        <v>22</v>
      </c>
      <c r="K37" s="52" t="n">
        <f aca="false">datos25!I23</f>
        <v>0.106172425793336</v>
      </c>
      <c r="R37" s="16" t="s">
        <v>22</v>
      </c>
      <c r="S37" s="52" t="n">
        <f aca="false">datos25!I42</f>
        <v>0.0898283335629783</v>
      </c>
    </row>
    <row r="38" customFormat="false" ht="14.25" hidden="false" customHeight="false" outlineLevel="0" collapsed="false">
      <c r="B38" s="16" t="s">
        <v>23</v>
      </c>
      <c r="C38" s="52" t="n">
        <f aca="false">datos25!I6</f>
        <v>0.0776326366313713</v>
      </c>
      <c r="J38" s="16" t="s">
        <v>23</v>
      </c>
      <c r="K38" s="52" t="n">
        <f aca="false">datos25!I24</f>
        <v>0.26025528316054</v>
      </c>
      <c r="R38" s="16" t="s">
        <v>23</v>
      </c>
      <c r="S38" s="52" t="n">
        <f aca="false">datos25!I43</f>
        <v>0.120902471592261</v>
      </c>
    </row>
    <row r="39" customFormat="false" ht="14.25" hidden="false" customHeight="false" outlineLevel="0" collapsed="false">
      <c r="B39" s="16" t="s">
        <v>24</v>
      </c>
      <c r="C39" s="52" t="n">
        <f aca="false">datos25!I7</f>
        <v>0.078092985653231</v>
      </c>
      <c r="J39" s="16" t="s">
        <v>24</v>
      </c>
      <c r="K39" s="52" t="n">
        <f aca="false">datos25!I25</f>
        <v>0.208512443526456</v>
      </c>
      <c r="R39" s="16" t="s">
        <v>24</v>
      </c>
      <c r="S39" s="52" t="n">
        <f aca="false">datos25!I44</f>
        <v>0.112051009895006</v>
      </c>
    </row>
    <row r="40" customFormat="false" ht="14.25" hidden="false" customHeight="false" outlineLevel="0" collapsed="false">
      <c r="B40" s="16" t="s">
        <v>25</v>
      </c>
      <c r="C40" s="52" t="n">
        <f aca="false">datos25!I8</f>
        <v>0.0261726818670485</v>
      </c>
      <c r="J40" s="16" t="s">
        <v>25</v>
      </c>
      <c r="K40" s="52" t="n">
        <f aca="false">datos25!I26</f>
        <v>0.0921470334291928</v>
      </c>
      <c r="R40" s="16" t="s">
        <v>25</v>
      </c>
      <c r="S40" s="52" t="n">
        <f aca="false">datos25!I45</f>
        <v>0.0366548033718451</v>
      </c>
    </row>
    <row r="41" customFormat="false" ht="14.25" hidden="false" customHeight="false" outlineLevel="0" collapsed="false">
      <c r="B41" s="16" t="s">
        <v>26</v>
      </c>
      <c r="C41" s="52" t="n">
        <f aca="false">datos25!I9</f>
        <v>0.0163370214099975</v>
      </c>
      <c r="J41" s="16" t="s">
        <v>26</v>
      </c>
      <c r="K41" s="52" t="n">
        <f aca="false">datos25!I27</f>
        <v>0.0627931921104416</v>
      </c>
      <c r="R41" s="16" t="s">
        <v>26</v>
      </c>
      <c r="S41" s="52" t="n">
        <f aca="false">datos25!I46</f>
        <v>0.0225034173909219</v>
      </c>
    </row>
    <row r="42" customFormat="false" ht="14.25" hidden="false" customHeight="false" outlineLevel="0" collapsed="false">
      <c r="B42" s="16" t="s">
        <v>27</v>
      </c>
      <c r="C42" s="52" t="n">
        <f aca="false">datos25!I10</f>
        <v>0.0187538296583091</v>
      </c>
      <c r="J42" s="16" t="s">
        <v>27</v>
      </c>
      <c r="K42" s="52" t="n">
        <f aca="false">datos25!I28</f>
        <v>0.0758313574193935</v>
      </c>
      <c r="R42" s="16" t="s">
        <v>27</v>
      </c>
      <c r="S42" s="52" t="n">
        <f aca="false">datos25!I47</f>
        <v>0.0262558899538136</v>
      </c>
    </row>
    <row r="43" customFormat="false" ht="14.25" hidden="false" customHeight="false" outlineLevel="0" collapsed="false">
      <c r="B43" s="16" t="s">
        <v>28</v>
      </c>
      <c r="C43" s="52" t="n">
        <f aca="false">datos25!I11</f>
        <v>0.0166941868222615</v>
      </c>
      <c r="J43" s="16" t="s">
        <v>28</v>
      </c>
      <c r="K43" s="52" t="n">
        <f aca="false">datos25!I29</f>
        <v>0.0758173289819237</v>
      </c>
      <c r="R43" s="16" t="s">
        <v>28</v>
      </c>
      <c r="S43" s="52" t="n">
        <f aca="false">datos25!I48</f>
        <v>0.0239035199997385</v>
      </c>
    </row>
    <row r="44" customFormat="false" ht="14.25" hidden="false" customHeight="false" outlineLevel="0" collapsed="false">
      <c r="B44" s="16" t="s">
        <v>29</v>
      </c>
      <c r="C44" s="52" t="n">
        <f aca="false">datos25!I12</f>
        <v>0.0144701804905648</v>
      </c>
      <c r="J44" s="16" t="s">
        <v>29</v>
      </c>
      <c r="K44" s="52" t="n">
        <f aca="false">datos25!I30</f>
        <v>0.0570743086101619</v>
      </c>
      <c r="R44" s="16" t="s">
        <v>29</v>
      </c>
      <c r="S44" s="52" t="n">
        <f aca="false">datos25!I49</f>
        <v>0.0207738324903944</v>
      </c>
    </row>
    <row r="45" customFormat="false" ht="14.25" hidden="false" customHeight="false" outlineLevel="0" collapsed="false">
      <c r="B45" s="16" t="s">
        <v>30</v>
      </c>
      <c r="C45" s="52" t="n">
        <f aca="false">datos25!I13</f>
        <v>0.0191102838166136</v>
      </c>
      <c r="J45" s="16" t="s">
        <v>30</v>
      </c>
      <c r="K45" s="52" t="n">
        <f aca="false">datos25!I31</f>
        <v>0.0840399884719572</v>
      </c>
      <c r="R45" s="16" t="s">
        <v>30</v>
      </c>
      <c r="S45" s="52" t="n">
        <f aca="false">datos25!I50</f>
        <v>0.0265412844285741</v>
      </c>
    </row>
    <row r="46" customFormat="false" ht="14.25" hidden="false" customHeight="false" outlineLevel="0" collapsed="false">
      <c r="B46" s="16" t="s">
        <v>31</v>
      </c>
      <c r="C46" s="52" t="n">
        <f aca="false">datos25!I14</f>
        <v>0.0181782714061645</v>
      </c>
      <c r="J46" s="16" t="s">
        <v>31</v>
      </c>
      <c r="K46" s="52" t="n">
        <f aca="false">datos25!I32</f>
        <v>0.0651667113828504</v>
      </c>
      <c r="R46" s="16" t="s">
        <v>31</v>
      </c>
      <c r="S46" s="52" t="n">
        <f aca="false">datos25!I51</f>
        <v>0.025735591321762</v>
      </c>
    </row>
    <row r="47" customFormat="false" ht="14.25" hidden="false" customHeight="false" outlineLevel="0" collapsed="false">
      <c r="B47" s="16" t="s">
        <v>32</v>
      </c>
      <c r="C47" s="52" t="n">
        <f aca="false">datos25!I15</f>
        <v>0.0283168895739492</v>
      </c>
      <c r="J47" s="16" t="s">
        <v>32</v>
      </c>
      <c r="K47" s="52" t="n">
        <f aca="false">datos25!I33</f>
        <v>0.079267420151653</v>
      </c>
      <c r="R47" s="16" t="s">
        <v>32</v>
      </c>
      <c r="S47" s="52" t="n">
        <f aca="false">datos25!I52</f>
        <v>0.0377285851717377</v>
      </c>
    </row>
    <row r="48" customFormat="false" ht="14.25" hidden="false" customHeight="false" outlineLevel="0" collapsed="false">
      <c r="B48" s="16" t="s">
        <v>33</v>
      </c>
      <c r="C48" s="52" t="n">
        <f aca="false">datos25!I16</f>
        <v>0.0352996685596698</v>
      </c>
      <c r="J48" s="16" t="s">
        <v>33</v>
      </c>
      <c r="K48" s="52" t="n">
        <f aca="false">datos25!I34</f>
        <v>0.0767634002025472</v>
      </c>
      <c r="R48" s="16" t="s">
        <v>33</v>
      </c>
      <c r="S48" s="52" t="n">
        <f aca="false">datos25!I53</f>
        <v>0.0447101598963706</v>
      </c>
    </row>
    <row r="49" customFormat="false" ht="14.25" hidden="false" customHeight="false" outlineLevel="0" collapsed="false">
      <c r="A49" s="126"/>
      <c r="B49" s="127" t="s">
        <v>50</v>
      </c>
      <c r="C49" s="128" t="n">
        <f aca="false">datos25!I19</f>
        <v>0.0233518909546739</v>
      </c>
      <c r="I49" s="126"/>
      <c r="J49" s="127" t="s">
        <v>50</v>
      </c>
      <c r="K49" s="128" t="n">
        <f aca="false">datos25!G56</f>
        <v>0.18298167824586</v>
      </c>
      <c r="R49" s="127" t="s">
        <v>50</v>
      </c>
      <c r="S49" s="128" t="n">
        <f aca="false">datos25!I56</f>
        <v>0.0333785052408256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13</v>
      </c>
      <c r="B1" s="16" t="n">
        <v>4156946</v>
      </c>
      <c r="C1" s="87" t="s">
        <v>72</v>
      </c>
      <c r="F1" s="87" t="s">
        <v>60</v>
      </c>
    </row>
    <row r="2" customFormat="false" ht="14.25" hidden="false" customHeight="false" outlineLevel="0" collapsed="false">
      <c r="A2" s="129"/>
      <c r="B2" s="130" t="s">
        <v>14</v>
      </c>
      <c r="C2" s="130" t="s">
        <v>15</v>
      </c>
      <c r="D2" s="130" t="s">
        <v>16</v>
      </c>
      <c r="E2" s="130" t="s">
        <v>17</v>
      </c>
      <c r="F2" s="130" t="s">
        <v>18</v>
      </c>
      <c r="G2" s="130" t="s">
        <v>19</v>
      </c>
      <c r="H2" s="130" t="s">
        <v>20</v>
      </c>
      <c r="I2" s="130" t="s">
        <v>21</v>
      </c>
      <c r="J2" s="131" t="s">
        <v>61</v>
      </c>
    </row>
    <row r="3" customFormat="false" ht="14.25" hidden="false" customHeight="false" outlineLevel="0" collapsed="false">
      <c r="A3" s="64" t="s">
        <v>22</v>
      </c>
      <c r="B3" s="20" t="n">
        <v>158465</v>
      </c>
      <c r="C3" s="20" t="n">
        <v>51279291</v>
      </c>
      <c r="D3" s="21" t="n">
        <v>1470</v>
      </c>
      <c r="E3" s="20" t="n">
        <f aca="false">C3/D3</f>
        <v>34883.8714285714</v>
      </c>
      <c r="F3" s="22" t="n">
        <f aca="false">E3/B3</f>
        <v>0.220136127400823</v>
      </c>
      <c r="G3" s="20" t="n">
        <v>931160</v>
      </c>
      <c r="H3" s="23" t="n">
        <f aca="false">E3/G3</f>
        <v>0.0374628113627856</v>
      </c>
      <c r="I3" s="24" t="n">
        <f aca="false">B3/G3</f>
        <v>0.170180205335281</v>
      </c>
      <c r="J3" s="17" t="n">
        <v>630</v>
      </c>
    </row>
    <row r="4" customFormat="false" ht="14.25" hidden="false" customHeight="false" outlineLevel="0" collapsed="false">
      <c r="A4" s="64" t="s">
        <v>23</v>
      </c>
      <c r="B4" s="20" t="n">
        <f aca="false">89785+42270+130490+3600+1832+9823</f>
        <v>277800</v>
      </c>
      <c r="C4" s="20" t="n">
        <v>67710401</v>
      </c>
      <c r="D4" s="21" t="n">
        <v>1425</v>
      </c>
      <c r="E4" s="20" t="n">
        <f aca="false">C4/D4</f>
        <v>47516.070877193</v>
      </c>
      <c r="F4" s="22" t="n">
        <f aca="false">E4/B4</f>
        <v>0.171044171624165</v>
      </c>
      <c r="G4" s="20" t="n">
        <v>947482</v>
      </c>
      <c r="H4" s="23" t="n">
        <f aca="false">E4/G4</f>
        <v>0.050149840183975</v>
      </c>
      <c r="I4" s="24" t="n">
        <f aca="false">B4/G4</f>
        <v>0.293198182129054</v>
      </c>
      <c r="J4" s="17" t="n">
        <v>704</v>
      </c>
    </row>
    <row r="5" customFormat="false" ht="14.25" hidden="false" customHeight="false" outlineLevel="0" collapsed="false">
      <c r="A5" s="64" t="s">
        <v>24</v>
      </c>
      <c r="B5" s="20" t="n">
        <f aca="false">96570+44435+125475+3897+2344+11882</f>
        <v>284603</v>
      </c>
      <c r="C5" s="20" t="n">
        <v>69098637</v>
      </c>
      <c r="D5" s="21" t="n">
        <v>1415</v>
      </c>
      <c r="E5" s="20" t="n">
        <f aca="false">C5/D5</f>
        <v>48832.9590106007</v>
      </c>
      <c r="F5" s="22" t="n">
        <f aca="false">E5/B5</f>
        <v>0.171582727555931</v>
      </c>
      <c r="G5" s="20" t="n">
        <v>1232374</v>
      </c>
      <c r="H5" s="23" t="n">
        <f aca="false">E5/G5</f>
        <v>0.0396251130018977</v>
      </c>
      <c r="I5" s="24" t="n">
        <f aca="false">B5/G5</f>
        <v>0.230938822143278</v>
      </c>
      <c r="J5" s="17" t="n">
        <v>701</v>
      </c>
    </row>
    <row r="6" customFormat="false" ht="14.25" hidden="false" customHeight="false" outlineLevel="0" collapsed="false">
      <c r="A6" s="64" t="s">
        <v>25</v>
      </c>
      <c r="B6" s="20" t="n">
        <v>230730</v>
      </c>
      <c r="C6" s="20" t="n">
        <v>61083668.62</v>
      </c>
      <c r="D6" s="21" t="n">
        <v>1415</v>
      </c>
      <c r="E6" s="20" t="n">
        <f aca="false">C6/D6</f>
        <v>43168.6704028269</v>
      </c>
      <c r="F6" s="22" t="n">
        <f aca="false">E6/B6</f>
        <v>0.187096044739855</v>
      </c>
      <c r="G6" s="20" t="n">
        <v>884860</v>
      </c>
      <c r="H6" s="23" t="n">
        <f aca="false">E6/G6</f>
        <v>0.0487858761869978</v>
      </c>
      <c r="I6" s="24" t="n">
        <f aca="false">B6/G6</f>
        <v>0.260753113486879</v>
      </c>
      <c r="J6" s="17" t="n">
        <v>662</v>
      </c>
    </row>
    <row r="7" customFormat="false" ht="14.25" hidden="false" customHeight="false" outlineLevel="0" collapsed="false">
      <c r="A7" s="64" t="s">
        <v>26</v>
      </c>
      <c r="B7" s="20"/>
      <c r="C7" s="104"/>
      <c r="D7" s="21"/>
      <c r="E7" s="101"/>
      <c r="F7" s="102"/>
      <c r="G7" s="20"/>
      <c r="H7" s="23"/>
      <c r="I7" s="24"/>
      <c r="J7" s="21"/>
    </row>
    <row r="8" customFormat="false" ht="14.25" hidden="false" customHeight="false" outlineLevel="0" collapsed="false">
      <c r="A8" s="64" t="s">
        <v>27</v>
      </c>
      <c r="B8" s="20"/>
      <c r="C8" s="104"/>
      <c r="D8" s="21"/>
      <c r="E8" s="101"/>
      <c r="F8" s="102"/>
      <c r="G8" s="20"/>
      <c r="H8" s="23"/>
      <c r="I8" s="24"/>
      <c r="J8" s="21"/>
    </row>
    <row r="9" customFormat="false" ht="14.25" hidden="false" customHeight="false" outlineLevel="0" collapsed="false">
      <c r="A9" s="64" t="s">
        <v>28</v>
      </c>
      <c r="B9" s="20"/>
      <c r="C9" s="104"/>
      <c r="D9" s="21"/>
      <c r="E9" s="101"/>
      <c r="F9" s="102"/>
      <c r="G9" s="20"/>
      <c r="H9" s="23"/>
      <c r="I9" s="24"/>
      <c r="J9" s="21"/>
    </row>
    <row r="10" customFormat="false" ht="14.25" hidden="false" customHeight="false" outlineLevel="0" collapsed="false">
      <c r="A10" s="64" t="s">
        <v>29</v>
      </c>
      <c r="B10" s="20"/>
      <c r="C10" s="104"/>
      <c r="D10" s="21"/>
      <c r="E10" s="101"/>
      <c r="F10" s="102"/>
      <c r="G10" s="20"/>
      <c r="H10" s="23"/>
      <c r="I10" s="24"/>
      <c r="J10" s="21"/>
    </row>
    <row r="11" customFormat="false" ht="14.25" hidden="false" customHeight="false" outlineLevel="0" collapsed="false">
      <c r="A11" s="64" t="s">
        <v>30</v>
      </c>
      <c r="B11" s="20"/>
      <c r="C11" s="20"/>
      <c r="D11" s="21"/>
      <c r="E11" s="20"/>
      <c r="F11" s="22"/>
      <c r="G11" s="20"/>
      <c r="H11" s="23"/>
      <c r="I11" s="24"/>
      <c r="J11" s="21"/>
    </row>
    <row r="12" customFormat="false" ht="14.25" hidden="false" customHeight="false" outlineLevel="0" collapsed="false">
      <c r="A12" s="64" t="s">
        <v>31</v>
      </c>
      <c r="B12" s="20"/>
      <c r="C12" s="20"/>
      <c r="D12" s="21"/>
      <c r="E12" s="20"/>
      <c r="F12" s="22"/>
      <c r="G12" s="20"/>
      <c r="H12" s="23"/>
      <c r="I12" s="24"/>
      <c r="J12" s="21"/>
    </row>
    <row r="13" customFormat="false" ht="14.25" hidden="false" customHeight="false" outlineLevel="0" collapsed="false">
      <c r="A13" s="64" t="s">
        <v>32</v>
      </c>
      <c r="B13" s="20"/>
      <c r="C13" s="20"/>
      <c r="D13" s="21"/>
      <c r="E13" s="20"/>
      <c r="F13" s="22"/>
      <c r="G13" s="20"/>
      <c r="H13" s="23"/>
      <c r="I13" s="24"/>
      <c r="J13" s="21"/>
    </row>
    <row r="14" customFormat="false" ht="14.25" hidden="false" customHeight="false" outlineLevel="0" collapsed="false">
      <c r="A14" s="64" t="s">
        <v>33</v>
      </c>
      <c r="B14" s="20"/>
      <c r="C14" s="20"/>
      <c r="D14" s="21"/>
      <c r="E14" s="20"/>
      <c r="F14" s="22"/>
      <c r="G14" s="20"/>
      <c r="H14" s="23"/>
      <c r="I14" s="24"/>
      <c r="J14" s="21"/>
    </row>
    <row r="16" customFormat="false" ht="14.25" hidden="false" customHeight="false" outlineLevel="0" collapsed="false">
      <c r="A16" s="25" t="s">
        <v>34</v>
      </c>
      <c r="B16" s="66" t="n">
        <f aca="false">SUM(B3:B14)</f>
        <v>951598</v>
      </c>
      <c r="C16" s="26"/>
      <c r="D16" s="26"/>
      <c r="E16" s="66" t="n">
        <f aca="false">SUM(E3:E14)</f>
        <v>174401.571719192</v>
      </c>
      <c r="F16" s="26"/>
      <c r="G16" s="66" t="n">
        <f aca="false">SUM(G3:G14)</f>
        <v>3995876</v>
      </c>
    </row>
    <row r="17" customFormat="false" ht="14.25" hidden="false" customHeight="false" outlineLevel="0" collapsed="false">
      <c r="A17" s="27" t="s">
        <v>40</v>
      </c>
      <c r="B17" s="5"/>
      <c r="C17" s="5"/>
      <c r="D17" s="5"/>
      <c r="E17" s="5"/>
      <c r="F17" s="92" t="n">
        <f aca="false">(F3*E3+F4*E4+F5*E5+F6*E6+F7*E7+F8*E8+F9*E9+F10*E10+F11*E11+F12*E12+F13*E13+F14*E14)/E16</f>
        <v>0.184987593974885</v>
      </c>
      <c r="G17" s="93"/>
      <c r="H17" s="92" t="n">
        <f aca="false">(H3*G3+H4*G4+H5*G5+H6*G6+H7*G7+H8*G8+H9*G9+H10*G10+H11*G11+H12*G12+G13*H13+G14*H14)/G16</f>
        <v>0.0436453913282574</v>
      </c>
      <c r="I17" s="92" t="n">
        <f aca="false">(I3*G3+I4*G4+I5*G5+I6*G6+I7*G7+I8*G8+I9*I9+I10*G10+I11*G11+I12*G12+I13*G13+I14*G14)/G16</f>
        <v>0.238145027523377</v>
      </c>
    </row>
    <row r="57" customFormat="false" ht="14.25" hidden="false" customHeight="false" outlineLevel="0" collapsed="false">
      <c r="M57" s="111"/>
      <c r="Q57" s="112"/>
    </row>
    <row r="58" customFormat="false" ht="14.25" hidden="false" customHeight="false" outlineLevel="0" collapsed="false">
      <c r="M58" s="1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M10" activeCellId="0" sqref="M10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14.89"/>
  </cols>
  <sheetData>
    <row r="2" customFormat="false" ht="17.35" hidden="false" customHeight="false" outlineLevel="0" collapsed="false">
      <c r="B2" s="121" t="s">
        <v>44</v>
      </c>
      <c r="C2" s="61"/>
    </row>
    <row r="3" customFormat="false" ht="14.25" hidden="false" customHeight="false" outlineLevel="0" collapsed="false">
      <c r="B3" s="0" t="s">
        <v>71</v>
      </c>
    </row>
    <row r="4" customFormat="false" ht="14.25" hidden="false" customHeight="false" outlineLevel="0" collapsed="false">
      <c r="C4" s="16" t="s">
        <v>57</v>
      </c>
    </row>
    <row r="5" customFormat="false" ht="14.25" hidden="false" customHeight="false" outlineLevel="0" collapsed="false">
      <c r="B5" s="16" t="s">
        <v>22</v>
      </c>
      <c r="C5" s="46" t="n">
        <f aca="false">datos26!C42</f>
        <v>0</v>
      </c>
    </row>
    <row r="6" customFormat="false" ht="14.25" hidden="false" customHeight="false" outlineLevel="0" collapsed="false">
      <c r="B6" s="16" t="s">
        <v>23</v>
      </c>
      <c r="C6" s="46" t="n">
        <f aca="false">datos26!C43</f>
        <v>0</v>
      </c>
    </row>
    <row r="7" customFormat="false" ht="14.25" hidden="false" customHeight="false" outlineLevel="0" collapsed="false">
      <c r="B7" s="16" t="s">
        <v>24</v>
      </c>
      <c r="C7" s="46" t="n">
        <f aca="false">datos26!C44</f>
        <v>0</v>
      </c>
    </row>
    <row r="8" customFormat="false" ht="14.25" hidden="false" customHeight="false" outlineLevel="0" collapsed="false">
      <c r="B8" s="16" t="s">
        <v>25</v>
      </c>
      <c r="C8" s="46" t="n">
        <f aca="false">datos26!C45</f>
        <v>0</v>
      </c>
    </row>
    <row r="9" customFormat="false" ht="14.25" hidden="false" customHeight="false" outlineLevel="0" collapsed="false">
      <c r="B9" s="16" t="s">
        <v>26</v>
      </c>
      <c r="C9" s="46"/>
    </row>
    <row r="10" customFormat="false" ht="14.25" hidden="false" customHeight="false" outlineLevel="0" collapsed="false">
      <c r="B10" s="16" t="s">
        <v>27</v>
      </c>
      <c r="C10" s="46"/>
    </row>
    <row r="11" customFormat="false" ht="14.25" hidden="false" customHeight="false" outlineLevel="0" collapsed="false">
      <c r="B11" s="16" t="s">
        <v>28</v>
      </c>
      <c r="C11" s="46"/>
    </row>
    <row r="12" customFormat="false" ht="14.25" hidden="false" customHeight="false" outlineLevel="0" collapsed="false">
      <c r="B12" s="16" t="s">
        <v>29</v>
      </c>
      <c r="C12" s="46"/>
    </row>
    <row r="13" customFormat="false" ht="14.25" hidden="false" customHeight="false" outlineLevel="0" collapsed="false">
      <c r="B13" s="16" t="s">
        <v>30</v>
      </c>
      <c r="C13" s="46"/>
    </row>
    <row r="14" customFormat="false" ht="14.25" hidden="false" customHeight="false" outlineLevel="0" collapsed="false">
      <c r="B14" s="16" t="s">
        <v>31</v>
      </c>
      <c r="C14" s="46"/>
    </row>
    <row r="15" customFormat="false" ht="14.25" hidden="false" customHeight="false" outlineLevel="0" collapsed="false">
      <c r="B15" s="16" t="s">
        <v>32</v>
      </c>
      <c r="C15" s="46"/>
    </row>
    <row r="16" customFormat="false" ht="14.25" hidden="false" customHeight="false" outlineLevel="0" collapsed="false">
      <c r="B16" s="16" t="s">
        <v>33</v>
      </c>
      <c r="C16" s="46"/>
    </row>
    <row r="17" customFormat="false" ht="14.25" hidden="false" customHeight="false" outlineLevel="0" collapsed="false">
      <c r="B17" s="124" t="s">
        <v>40</v>
      </c>
      <c r="C17" s="125" t="n">
        <f aca="false">AVERAGE(C5:C16)</f>
        <v>0</v>
      </c>
    </row>
    <row r="19" customFormat="false" ht="17.35" hidden="false" customHeight="false" outlineLevel="0" collapsed="false">
      <c r="B19" s="121" t="s">
        <v>48</v>
      </c>
      <c r="C19" s="61"/>
    </row>
    <row r="20" customFormat="false" ht="14.25" hidden="false" customHeight="false" outlineLevel="0" collapsed="false">
      <c r="C20" s="16" t="s">
        <v>18</v>
      </c>
    </row>
    <row r="21" customFormat="false" ht="14.25" hidden="false" customHeight="false" outlineLevel="0" collapsed="false">
      <c r="B21" s="16" t="s">
        <v>22</v>
      </c>
      <c r="C21" s="52" t="n">
        <f aca="false">datos26!G42</f>
        <v>0</v>
      </c>
    </row>
    <row r="22" customFormat="false" ht="14.25" hidden="false" customHeight="false" outlineLevel="0" collapsed="false">
      <c r="B22" s="16" t="s">
        <v>23</v>
      </c>
      <c r="C22" s="52" t="n">
        <f aca="false">datos26!G43</f>
        <v>0</v>
      </c>
    </row>
    <row r="23" customFormat="false" ht="14.25" hidden="false" customHeight="false" outlineLevel="0" collapsed="false">
      <c r="B23" s="16" t="s">
        <v>24</v>
      </c>
      <c r="C23" s="52" t="n">
        <f aca="false">datos26!G44</f>
        <v>0</v>
      </c>
    </row>
    <row r="24" customFormat="false" ht="14.25" hidden="false" customHeight="false" outlineLevel="0" collapsed="false">
      <c r="B24" s="16" t="s">
        <v>25</v>
      </c>
      <c r="C24" s="52" t="n">
        <f aca="false">datos26!G45</f>
        <v>0</v>
      </c>
    </row>
    <row r="25" customFormat="false" ht="14.25" hidden="false" customHeight="false" outlineLevel="0" collapsed="false">
      <c r="B25" s="16" t="s">
        <v>26</v>
      </c>
      <c r="C25" s="52"/>
    </row>
    <row r="26" customFormat="false" ht="14.25" hidden="false" customHeight="false" outlineLevel="0" collapsed="false">
      <c r="B26" s="16" t="s">
        <v>27</v>
      </c>
      <c r="C26" s="52"/>
    </row>
    <row r="27" customFormat="false" ht="14.25" hidden="false" customHeight="false" outlineLevel="0" collapsed="false">
      <c r="B27" s="16" t="s">
        <v>28</v>
      </c>
      <c r="C27" s="52"/>
    </row>
    <row r="28" customFormat="false" ht="14.25" hidden="false" customHeight="false" outlineLevel="0" collapsed="false">
      <c r="B28" s="16" t="s">
        <v>29</v>
      </c>
      <c r="C28" s="52"/>
    </row>
    <row r="29" customFormat="false" ht="14.25" hidden="false" customHeight="false" outlineLevel="0" collapsed="false">
      <c r="B29" s="16" t="s">
        <v>30</v>
      </c>
      <c r="C29" s="52"/>
    </row>
    <row r="30" customFormat="false" ht="14.25" hidden="false" customHeight="false" outlineLevel="0" collapsed="false">
      <c r="B30" s="16" t="s">
        <v>31</v>
      </c>
      <c r="C30" s="52"/>
    </row>
    <row r="31" customFormat="false" ht="14.25" hidden="false" customHeight="false" outlineLevel="0" collapsed="false">
      <c r="B31" s="16" t="s">
        <v>32</v>
      </c>
      <c r="C31" s="52"/>
    </row>
    <row r="32" customFormat="false" ht="14.25" hidden="false" customHeight="false" outlineLevel="0" collapsed="false">
      <c r="B32" s="16" t="s">
        <v>33</v>
      </c>
      <c r="C32" s="52"/>
    </row>
    <row r="33" customFormat="false" ht="14.25" hidden="false" customHeight="false" outlineLevel="0" collapsed="false">
      <c r="B33" s="127" t="s">
        <v>50</v>
      </c>
      <c r="C33" s="128" t="n">
        <f aca="false">datos26!G56</f>
        <v>0</v>
      </c>
    </row>
    <row r="34" customFormat="false" ht="14.25" hidden="false" customHeight="false" outlineLevel="0" collapsed="false">
      <c r="B34" s="48"/>
      <c r="C34" s="55"/>
    </row>
    <row r="35" customFormat="false" ht="17.35" hidden="false" customHeight="false" outlineLevel="0" collapsed="false">
      <c r="B35" s="121" t="s">
        <v>52</v>
      </c>
      <c r="C35" s="61"/>
    </row>
    <row r="36" customFormat="false" ht="14.25" hidden="false" customHeight="false" outlineLevel="0" collapsed="false">
      <c r="B36" s="61"/>
      <c r="C36" s="67" t="s">
        <v>20</v>
      </c>
    </row>
    <row r="37" customFormat="false" ht="14.25" hidden="false" customHeight="false" outlineLevel="0" collapsed="false">
      <c r="B37" s="16" t="s">
        <v>22</v>
      </c>
      <c r="C37" s="52" t="n">
        <f aca="false">datos26!I42</f>
        <v>0</v>
      </c>
    </row>
    <row r="38" customFormat="false" ht="14.25" hidden="false" customHeight="false" outlineLevel="0" collapsed="false">
      <c r="B38" s="16" t="s">
        <v>23</v>
      </c>
      <c r="C38" s="52" t="n">
        <f aca="false">datos26!I43</f>
        <v>0</v>
      </c>
    </row>
    <row r="39" customFormat="false" ht="14.25" hidden="false" customHeight="false" outlineLevel="0" collapsed="false">
      <c r="B39" s="16" t="s">
        <v>24</v>
      </c>
      <c r="C39" s="52" t="n">
        <f aca="false">datos26!I44</f>
        <v>0</v>
      </c>
    </row>
    <row r="40" customFormat="false" ht="14.25" hidden="false" customHeight="false" outlineLevel="0" collapsed="false">
      <c r="B40" s="16" t="s">
        <v>25</v>
      </c>
      <c r="C40" s="52" t="n">
        <f aca="false">datos26!I45</f>
        <v>0</v>
      </c>
    </row>
    <row r="41" customFormat="false" ht="14.25" hidden="false" customHeight="false" outlineLevel="0" collapsed="false">
      <c r="B41" s="16" t="s">
        <v>26</v>
      </c>
      <c r="C41" s="52"/>
    </row>
    <row r="42" customFormat="false" ht="14.25" hidden="false" customHeight="false" outlineLevel="0" collapsed="false">
      <c r="B42" s="16" t="s">
        <v>27</v>
      </c>
      <c r="C42" s="52"/>
    </row>
    <row r="43" customFormat="false" ht="14.25" hidden="false" customHeight="false" outlineLevel="0" collapsed="false">
      <c r="B43" s="16" t="s">
        <v>28</v>
      </c>
      <c r="C43" s="52"/>
    </row>
    <row r="44" customFormat="false" ht="14.25" hidden="false" customHeight="false" outlineLevel="0" collapsed="false">
      <c r="B44" s="16" t="s">
        <v>29</v>
      </c>
      <c r="C44" s="52"/>
    </row>
    <row r="45" customFormat="false" ht="14.25" hidden="false" customHeight="false" outlineLevel="0" collapsed="false">
      <c r="B45" s="16" t="s">
        <v>30</v>
      </c>
      <c r="C45" s="52"/>
    </row>
    <row r="46" customFormat="false" ht="14.25" hidden="false" customHeight="false" outlineLevel="0" collapsed="false">
      <c r="B46" s="16" t="s">
        <v>31</v>
      </c>
      <c r="C46" s="52"/>
    </row>
    <row r="47" customFormat="false" ht="14.25" hidden="false" customHeight="false" outlineLevel="0" collapsed="false">
      <c r="B47" s="16" t="s">
        <v>32</v>
      </c>
      <c r="C47" s="52"/>
    </row>
    <row r="48" customFormat="false" ht="14.25" hidden="false" customHeight="false" outlineLevel="0" collapsed="false">
      <c r="B48" s="16" t="s">
        <v>33</v>
      </c>
      <c r="C48" s="52"/>
    </row>
    <row r="49" customFormat="false" ht="14.25" hidden="false" customHeight="false" outlineLevel="0" collapsed="false">
      <c r="B49" s="127" t="s">
        <v>50</v>
      </c>
      <c r="C49" s="128" t="n">
        <f aca="false">datos26!I56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2026-06-03T21:29:39Z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